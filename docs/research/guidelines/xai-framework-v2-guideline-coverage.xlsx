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Final ratings" sheetId="2" state="visible" r:id="rId4"/>
    <sheet name="Rating history" sheetId="3" state="visible" r:id="rId5"/>
    <sheet name="Gaps and actions" sheetId="4" state="visible" r:id="rId6"/>
    <sheet name="Method" sheetId="5" state="visible" r:id="rId7"/>
  </sheets>
  <definedNames>
    <definedName function="false" hidden="true" localSheetId="1" name="_xlnm._FilterDatabase" vbProcedure="false">'Final ratings'!$A$1:$H$51</definedName>
    <definedName function="false" hidden="true" localSheetId="2" name="_xlnm._FilterDatabase" vbProcedure="false">'Rating history'!$A$1:$H$51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<sst xmlns="http://schemas.openxmlformats.org/spreadsheetml/2006/main" count="757" uniqueCount="332">
  <si>
    <t xml:space="preserve">Framework v2 coverage of the 50 XAI-relevant guidelines</t>
  </si>
  <si>
    <t xml:space="preserve">Final ratings agreed 13 Oct 2026, updated 14 Oct (G16, G17, G58 built). Source: XAI guideline evidence catalogue v2 (5 Oct) and Framework v2 (11 Oct), checked against ews-mobile/model/.</t>
  </si>
  <si>
    <t xml:space="preserve">1. Final coverage</t>
  </si>
  <si>
    <t xml:space="preserve">Rating</t>
  </si>
  <si>
    <t xml:space="preserve">Guidelines</t>
  </si>
  <si>
    <t xml:space="preserve">Share</t>
  </si>
  <si>
    <t xml:space="preserve">Covered</t>
  </si>
  <si>
    <t xml:space="preserve">Partly</t>
  </si>
  <si>
    <t xml:space="preserve">UI only</t>
  </si>
  <si>
    <t xml:space="preserve">Not covered</t>
  </si>
  <si>
    <t xml:space="preserve">Total</t>
  </si>
  <si>
    <t xml:space="preserve">2. Final coverage by evidence class</t>
  </si>
  <si>
    <t xml:space="preserve">Direct</t>
  </si>
  <si>
    <t xml:space="preserve">Indirect</t>
  </si>
  <si>
    <t xml:space="preserve">None found</t>
  </si>
  <si>
    <t xml:space="preserve">3. How the ratings changed</t>
  </si>
  <si>
    <t xml:space="preserve">First pass (Claude)</t>
  </si>
  <si>
    <t xml:space="preserve">Second (Minindu)</t>
  </si>
  <si>
    <t xml:space="preserve">Re-audit (LLM)</t>
  </si>
  <si>
    <t xml:space="preserve">Final</t>
  </si>
  <si>
    <t xml:space="preserve">Rows where final differs from re-audit</t>
  </si>
  <si>
    <t xml:space="preserve">4. Sentence for the paper</t>
  </si>
  <si>
    <t xml:space="preserve">Coverage shows where a guideline is handled; it is not evidence that the framework helps people with cognitive impairments.</t>
  </si>
  <si>
    <t xml:space="preserve">All counts are formulas on the Final ratings sheet: change a rating there and every table updates.</t>
  </si>
  <si>
    <t xml:space="preserve">ID</t>
  </si>
  <si>
    <t xml:space="preserve">Guideline</t>
  </si>
  <si>
    <t xml:space="preserve">Evidence class</t>
  </si>
  <si>
    <t xml:space="preserve">Catalogue page</t>
  </si>
  <si>
    <t xml:space="preserve">Final rating</t>
  </si>
  <si>
    <t xml:space="preserve">Framework part</t>
  </si>
  <si>
    <t xml:space="preserve">Where in the model</t>
  </si>
  <si>
    <t xml:space="preserve">Basis for the rating</t>
  </si>
  <si>
    <t xml:space="preserve">G4</t>
  </si>
  <si>
    <t xml:space="preserve">One step per screen</t>
  </si>
  <si>
    <t xml:space="preserve">L2 rule: "Why?" opens one part per screen; profile firstView</t>
  </si>
  <si>
    <t xml:space="preserve">ExplanationProfile.firstView; stepper in screen spec</t>
  </si>
  <si>
    <t xml:space="preserve">L2 controls content order/depth, but no one-step-per-screen stepper or Back/Next flow is specified.</t>
  </si>
  <si>
    <t xml:space="preserve">G11</t>
  </si>
  <si>
    <t xml:space="preserve">Most important stands out</t>
  </si>
  <si>
    <t xml:space="preserve">Invariants (hazard, action); L2 rule: bottom line first</t>
  </si>
  <si>
    <t xml:space="preserve">AdaptedExplanation.hazard, .action</t>
  </si>
  <si>
    <t xml:space="preserve">Hazard/action are retained, but the priority ordering and dominant action button are not specified.</t>
  </si>
  <si>
    <t xml:space="preserve">G14</t>
  </si>
  <si>
    <t xml:space="preserve">Use clear words</t>
  </si>
  <si>
    <t xml:space="preserve">Capability "Why": plain-word lookup for each observation</t>
  </si>
  <si>
    <t xml:space="preserve">ObservationId + word table</t>
  </si>
  <si>
    <t xml:space="preserve">supportingObservations is available; a plain-language multilingual input-to-words mapping is not specified.</t>
  </si>
  <si>
    <t xml:space="preserve">G16</t>
  </si>
  <si>
    <t xml:space="preserve">Avoid double negatives</t>
  </si>
  <si>
    <t xml:space="preserve">L2 template rule; L4 check rejects banned phrases</t>
  </si>
  <si>
    <t xml:space="preserve">Not yet in checkInvariants()</t>
  </si>
  <si>
    <t xml:space="preserve">Done 14 Oct: checkInvariants() rejects double negatives (BANNED_PHRASES, G16 group) in Layer 4 wording; tested (case "AI double negative").</t>
  </si>
  <si>
    <t xml:space="preserve">G18</t>
  </si>
  <si>
    <t xml:space="preserve">Keep text succinct</t>
  </si>
  <si>
    <t xml:space="preserve">Word budget per text slot</t>
  </si>
  <si>
    <t xml:space="preserve">Screen spec</t>
  </si>
  <si>
    <t xml:space="preserve">L3 forces a short alert line, but no word budget is set for all explanation steps.</t>
  </si>
  <si>
    <t xml:space="preserve">G19</t>
  </si>
  <si>
    <t xml:space="preserve">Clear formatting and punctuation</t>
  </si>
  <si>
    <t xml:space="preserve">Style rules for the forecast card</t>
  </si>
  <si>
    <t xml:space="preserve">A screen rule, not a framework rule; not built yet because screens wait for wireframes. Not the same as missing from the framework.</t>
  </si>
  <si>
    <t xml:space="preserve">G21</t>
  </si>
  <si>
    <t xml:space="preserve">Summary of long documents</t>
  </si>
  <si>
    <t xml:space="preserve">L2 rule: one bottom-line sentence first</t>
  </si>
  <si>
    <t xml:space="preserve">firstView = 'mainMessage'</t>
  </si>
  <si>
    <t xml:space="preserve">L2 varies order/depth and L3 is concise; bottom-line-first in normal screens is unproven.</t>
  </si>
  <si>
    <t xml:space="preserve">G22</t>
  </si>
  <si>
    <t xml:space="preserve">Separate each instruction</t>
  </si>
  <si>
    <t xml:space="preserve">Action invariant as steps; profile actionDetail</t>
  </si>
  <si>
    <t xml:space="preserve">Action.steps, actionDetail</t>
  </si>
  <si>
    <t xml:space="preserve">profile.ts actionDetail = stepByStep ("numbered list, one step per line") with Action.steps[]; the checkbox is a screen detail.</t>
  </si>
  <si>
    <t xml:space="preserve">G25</t>
  </si>
  <si>
    <t xml:space="preserve">Explain implied content</t>
  </si>
  <si>
    <t xml:space="preserve">Extras: consequence line per state</t>
  </si>
  <si>
    <t xml:space="preserve">Extras.consequence; no capability row yet</t>
  </si>
  <si>
    <t xml:space="preserve">explanation.ts already has an Extras.consequence slot; what is missing is the consequence text per state.</t>
  </si>
  <si>
    <t xml:space="preserve">G26</t>
  </si>
  <si>
    <t xml:space="preserve">Alternatives for numbers</t>
  </si>
  <si>
    <t xml:space="preserve">Profile likelihoodForm; likelihood invariant</t>
  </si>
  <si>
    <t xml:space="preserve">likelihoodForm, Likelihood</t>
  </si>
  <si>
    <t xml:space="preserve">F5 demonstrates likelihoodForm=wordPictureNumber: CAP word, ten-house icon array and 29% on tap; likelihood invariant checks meaning.</t>
  </si>
  <si>
    <t xml:space="preserve">G41</t>
  </si>
  <si>
    <t xml:space="preserve">Avoid too much content</t>
  </si>
  <si>
    <t xml:space="preserve">Profile firstView (progressive disclosure)</t>
  </si>
  <si>
    <t xml:space="preserve">firstView</t>
  </si>
  <si>
    <t xml:space="preserve">The L2 profile chooses content and depth while invariants protect facts; this handles framework-side disclosure, not yet verified screen taps.</t>
  </si>
  <si>
    <t xml:space="preserve">G47</t>
  </si>
  <si>
    <t xml:space="preserve">Don't rely on calculation</t>
  </si>
  <si>
    <t xml:space="preserve">Profile timeWording; capability compare forecasts</t>
  </si>
  <si>
    <t xml:space="preserve">timeWording, compareForecasts()</t>
  </si>
  <si>
    <t xml:space="preserve">profile.ts has timeWording = dayAndPart ("Thursday morning") and compareForecasts() does the comparison; the re-audit did not have the code.</t>
  </si>
  <si>
    <t xml:space="preserve">G48</t>
  </si>
  <si>
    <t xml:space="preserve">Provide human help</t>
  </si>
  <si>
    <t xml:space="preserve">"Ask someone" button; needs a saved helper contact</t>
  </si>
  <si>
    <t xml:space="preserve">Nothing in the model</t>
  </si>
  <si>
    <t xml:space="preserve">No saved helper or emergency contact/call option is identified.</t>
  </si>
  <si>
    <t xml:space="preserve">G50</t>
  </si>
  <si>
    <t xml:space="preserve">State results of actions</t>
  </si>
  <si>
    <t xml:space="preserve">Action invariant; stay vs leave lines</t>
  </si>
  <si>
    <t xml:space="preserve">Action has no stay/leave lines</t>
  </si>
  <si>
    <t xml:space="preserve">Action steps exist but no predicted staying-versus-leaving consequences are presented.</t>
  </si>
  <si>
    <t xml:space="preserve">G54</t>
  </si>
  <si>
    <t xml:space="preserve">Provide reminders</t>
  </si>
  <si>
    <t xml:space="preserve">Profile reminders; capability what changed</t>
  </si>
  <si>
    <t xml:space="preserve">reminders, compareForecasts()</t>
  </si>
  <si>
    <t xml:space="preserve">Comparison capability identifies changes, but no scheduled reminder that re-explains current prediction is defined.</t>
  </si>
  <si>
    <t xml:space="preserve">G57</t>
  </si>
  <si>
    <t xml:space="preserve">Support simplification</t>
  </si>
  <si>
    <t xml:space="preserve">Preset "Just tell me"; simple mode keeps all invariants</t>
  </si>
  <si>
    <t xml:space="preserve">PRESETS.justTellMe</t>
  </si>
  <si>
    <t xml:space="preserve">L2 can reduce content while retaining all five facts; named normal-mode one-card simple preset is absent.</t>
  </si>
  <si>
    <t xml:space="preserve">G58</t>
  </si>
  <si>
    <t xml:space="preserve">Personalised, persistent</t>
  </si>
  <si>
    <t xml:space="preserve">Profile store</t>
  </si>
  <si>
    <t xml:space="preserve">ExplanationProfileContext (13 Oct)</t>
  </si>
  <si>
    <t xml:space="preserve">Done 14 Oct: ExplanationProfileContext saves the profile on the device, loads it at start-up, and lets it be edited (updateField, choosePreset).</t>
  </si>
  <si>
    <t xml:space="preserve">G59</t>
  </si>
  <si>
    <t xml:space="preserve">Info and relationships (screen readers)</t>
  </si>
  <si>
    <t xml:space="preserve">Screen-reader labels, icon array text</t>
  </si>
  <si>
    <t xml:space="preserve">LikelihoodView labels</t>
  </si>
  <si>
    <t xml:space="preserve">G67</t>
  </si>
  <si>
    <t xml:space="preserve">Reading level</t>
  </si>
  <si>
    <t xml:space="preserve">Template reading level; "More detail" link</t>
  </si>
  <si>
    <t xml:space="preserve">No reading-level field in the profile</t>
  </si>
  <si>
    <t xml:space="preserve">Changing depth does not establish a reading-level requirement or Easy Read template language.</t>
  </si>
  <si>
    <t xml:space="preserve">G73</t>
  </si>
  <si>
    <t xml:space="preserve">Persistent visual context</t>
  </si>
  <si>
    <t xml:space="preserve">Invariants (place, time window); fixed header</t>
  </si>
  <si>
    <t xml:space="preserve">place, timeWindow; ForecastHeader</t>
  </si>
  <si>
    <t xml:space="preserve">Both PLACE and TIME WINDOW are compulsory checked slots in every adapted explanation, across all layers. Fixed header remains an unverified UI detail.</t>
  </si>
  <si>
    <t xml:space="preserve">G76</t>
  </si>
  <si>
    <t xml:space="preserve">Realistic imagery</t>
  </si>
  <si>
    <t xml:space="preserve">Capability landmark (photo + level)</t>
  </si>
  <si>
    <t xml:space="preserve">Forecast.landmark (placeholder)</t>
  </si>
  <si>
    <t xml:space="preserve">Landmark comparison has a placeholder data field, but neither a real photo nor local reference levels are provided.</t>
  </si>
  <si>
    <t xml:space="preserve">G77</t>
  </si>
  <si>
    <t xml:space="preserve">Avoid metaphorical icons</t>
  </si>
  <si>
    <t xml:space="preserve">Literal icon set</t>
  </si>
  <si>
    <t xml:space="preserve">The illustrated array uses familiar house pictograms, but no rule excludes dice/gauges or requires literal labels elsewhere.</t>
  </si>
  <si>
    <t xml:space="preserve">G79</t>
  </si>
  <si>
    <t xml:space="preserve">Co-design with dementia users</t>
  </si>
  <si>
    <t xml:space="preserve">Method, not a system rule: future work</t>
  </si>
  <si>
    <t xml:space="preserve">—</t>
  </si>
  <si>
    <t xml:space="preserve">Co-design with users/carers is explicitly future work, not an accomplished method.</t>
  </si>
  <si>
    <t xml:space="preserve">G80</t>
  </si>
  <si>
    <t xml:space="preserve">Caregiver companion view</t>
  </si>
  <si>
    <t xml:space="preserve">Capability carer explanation: second profile</t>
  </si>
  <si>
    <t xml:space="preserve">carerConsent only; no second profile</t>
  </si>
  <si>
    <t xml:space="preserve">Carer consent and answerer fields exist; the separate caregiver profile/view does not.</t>
  </si>
  <si>
    <t xml:space="preserve">G81</t>
  </si>
  <si>
    <t xml:space="preserve">Familiar, real-world metaphors</t>
  </si>
  <si>
    <t xml:space="preserve">L2 rule: icon array only for likelihood</t>
  </si>
  <si>
    <t xml:space="preserve">likelihoodForm = 'wordPicture'</t>
  </si>
  <si>
    <t xml:space="preserve">The F5 worked trace explicitly uses a ten-house icon array for likelihood, with profile selection; the essential familiar representation is demonstrated. Universal ban on abstract charts is not evidenced.</t>
  </si>
  <si>
    <t xml:space="preserve">G88</t>
  </si>
  <si>
    <t xml:space="preserve">Literal language + visual support</t>
  </si>
  <si>
    <t xml:space="preserve">Profile modality = 'pictures'; pictogram per line</t>
  </si>
  <si>
    <t xml:space="preserve">modality; pictogram set in screen spec</t>
  </si>
  <si>
    <t xml:space="preserve">F5 pairs a likelihood word with a house array, but every explanation element does not have a literal pictogram/photo.</t>
  </si>
  <si>
    <t xml:space="preserve">G89</t>
  </si>
  <si>
    <t xml:space="preserve">Warning before change</t>
  </si>
  <si>
    <t xml:space="preserve">Profile changeAlerts; capability what changed</t>
  </si>
  <si>
    <t xml:space="preserve">changeAlerts, Extras.change</t>
  </si>
  <si>
    <t xml:space="preserve">compareForecasts() detects changes; alert-before-new-value order/notification is not specified.</t>
  </si>
  <si>
    <t xml:space="preserve">G107</t>
  </si>
  <si>
    <t xml:space="preserve">Caregiver-mediated configuration</t>
  </si>
  <si>
    <t xml:space="preserve">Profile answeredBy + consent</t>
  </si>
  <si>
    <t xml:space="preserve">carerConsent, hasRequiredConsent()</t>
  </si>
  <si>
    <t xml:space="preserve">carerConsent and answeredBy exist; there is no documented consent-gated onboarding configuration path.</t>
  </si>
  <si>
    <t xml:space="preserve">G111</t>
  </si>
  <si>
    <t xml:space="preserve">Calm colours in non-urgent states</t>
  </si>
  <si>
    <t xml:space="preserve">Colour tokens by state</t>
  </si>
  <si>
    <t xml:space="preserve">theme/colors.ts</t>
  </si>
  <si>
    <t xml:space="preserve">G114</t>
  </si>
  <si>
    <t xml:space="preserve">Time-boxed tasks / countdown</t>
  </si>
  <si>
    <t xml:space="preserve">Profile timeWording = 'both'</t>
  </si>
  <si>
    <t xml:space="preserve">timeWording</t>
  </si>
  <si>
    <t xml:space="preserve">Time window/next-update data are present; time chip, task estimates and countdown behaviour are not.</t>
  </si>
  <si>
    <t xml:space="preserve">G117</t>
  </si>
  <si>
    <t xml:space="preserve">Definition tooltips</t>
  </si>
  <si>
    <t xml:space="preserve">Tap-to-define terms</t>
  </si>
  <si>
    <t xml:space="preserve">Nothing; evidence favours removing jargon</t>
  </si>
  <si>
    <t xml:space="preserve">No tappable definitions for technical language specified.</t>
  </si>
  <si>
    <t xml:space="preserve">G118</t>
  </si>
  <si>
    <t xml:space="preserve">Multi-modal alert</t>
  </si>
  <si>
    <t xml:space="preserve">Change notification in text, voice and vibration</t>
  </si>
  <si>
    <t xml:space="preserve">modality; notification not in model</t>
  </si>
  <si>
    <t xml:space="preserve">Generic form adaptation does not document voice plus vibration channels for notifications.</t>
  </si>
  <si>
    <t xml:space="preserve">G119</t>
  </si>
  <si>
    <t xml:space="preserve">CAP message structure</t>
  </si>
  <si>
    <t xml:space="preserve">Likelihood invariant uses the CAP word</t>
  </si>
  <si>
    <t xml:space="preserve">capCertainty, capCertaintyFor(), Forecast.cap</t>
  </si>
  <si>
    <t xml:space="preserve">forecast.ts carries CAP certainty (likelihood.capCertainty), severity and urgency (Forecast.cap), and the instruction as Forecast.action.</t>
  </si>
  <si>
    <t xml:space="preserve">G120</t>
  </si>
  <si>
    <t xml:space="preserve">Universal hazard symbols</t>
  </si>
  <si>
    <t xml:space="preserve">Hazard invariant + fixed flood symbol</t>
  </si>
  <si>
    <t xml:space="preserve">hazard; symbol in screen spec</t>
  </si>
  <si>
    <t xml:space="preserve">G121</t>
  </si>
  <si>
    <t xml:space="preserve">Local-language Easy Read</t>
  </si>
  <si>
    <t xml:space="preserve">Language: app setting or profile field?</t>
  </si>
  <si>
    <t xml:space="preserve">Undecided (see note)</t>
  </si>
  <si>
    <t xml:space="preserve">No three-language Easy Read templates or language-selection field in v2.</t>
  </si>
  <si>
    <t xml:space="preserve">G124</t>
  </si>
  <si>
    <t xml:space="preserve">One decision under stress</t>
  </si>
  <si>
    <t xml:space="preserve">L3 alert mode</t>
  </si>
  <si>
    <t xml:space="preserve">Question 2 for 15 Oct</t>
  </si>
  <si>
    <t xml:space="preserve">L3 offers a short alert, but it deliberately keeps all five invariants. The catalogue asks for hazard/action/call-only; v2 itself flags this conflict for the supervisor.</t>
  </si>
  <si>
    <t xml:space="preserve">G125</t>
  </si>
  <si>
    <t xml:space="preserve">Pre-rehearsed action plan</t>
  </si>
  <si>
    <t xml:space="preserve">Practice mode in calm time</t>
  </si>
  <si>
    <t xml:space="preserve">No calm-time practice mode teaching possible/likely warnings.</t>
  </si>
  <si>
    <t xml:space="preserve">G128</t>
  </si>
  <si>
    <t xml:space="preserve">Multiple representations</t>
  </si>
  <si>
    <t xml:space="preserve">Profile modality</t>
  </si>
  <si>
    <t xml:space="preserve">modality</t>
  </si>
  <si>
    <t xml:space="preserve">profile.ts has modality = text | audio | pictures; producing the audio is screen work.</t>
  </si>
  <si>
    <t xml:space="preserve">G15</t>
  </si>
  <si>
    <t xml:space="preserve">Simple tense and voice</t>
  </si>
  <si>
    <t xml:space="preserve">Template writing rule</t>
  </si>
  <si>
    <t xml:space="preserve">G17</t>
  </si>
  <si>
    <t xml:space="preserve">Literal language</t>
  </si>
  <si>
    <t xml:space="preserve">L2 literal templates; L4 check rejects idioms</t>
  </si>
  <si>
    <t xml:space="preserve">Done 14 Oct: checkInvariants() rejects idioms (BANNED_PHRASES, G17 group) in Layer 4 wording; tested (case "AI idiom").</t>
  </si>
  <si>
    <t xml:space="preserve">G23</t>
  </si>
  <si>
    <t xml:space="preserve">White spacing</t>
  </si>
  <si>
    <t xml:space="preserve">Layout rule</t>
  </si>
  <si>
    <t xml:space="preserve">G24</t>
  </si>
  <si>
    <t xml:space="preserve">Foreground not obscured</t>
  </si>
  <si>
    <t xml:space="preserve">G27</t>
  </si>
  <si>
    <t xml:space="preserve">Content does not move unexpectedly</t>
  </si>
  <si>
    <t xml:space="preserve">Fixed slots; change banner first</t>
  </si>
  <si>
    <t xml:space="preserve">changeAlerts; layout in screen spec</t>
  </si>
  <si>
    <t xml:space="preserve">compareForecasts() does not guarantee fixed card slots or advance change banner.</t>
  </si>
  <si>
    <t xml:space="preserve">G38</t>
  </si>
  <si>
    <t xml:space="preserve">Familiar metrics and units</t>
  </si>
  <si>
    <t xml:space="preserve">Capability landmark; weekday wording</t>
  </si>
  <si>
    <t xml:space="preserve">landmark (placeholder), timeWording</t>
  </si>
  <si>
    <t xml:space="preserve">Forecast.landmark exists as a placeholder; real levels and localized weekday/unit rules are not supplied.</t>
  </si>
  <si>
    <t xml:space="preserve">G49</t>
  </si>
  <si>
    <t xml:space="preserve">Alternative content for complex info</t>
  </si>
  <si>
    <t xml:space="preserve">All variants built from one Forecast; check runs on each</t>
  </si>
  <si>
    <t xml:space="preserve">checkInvariants()</t>
  </si>
  <si>
    <t xml:space="preserve">All L2 variants must pass fidelity checks; a dedicated Easy Read text/picture toggle is not defined.</t>
  </si>
  <si>
    <t xml:space="preserve">G84</t>
  </si>
  <si>
    <t xml:space="preserve">Stigma-free language</t>
  </si>
  <si>
    <t xml:space="preserve">Presets named by need</t>
  </si>
  <si>
    <t xml:space="preserve">PRESET_NAMES</t>
  </si>
  <si>
    <t xml:space="preserve">The framework diagram expressly describes profile selection by need, not diagnosis.</t>
  </si>
  <si>
    <t xml:space="preserve">G109</t>
  </si>
  <si>
    <t xml:space="preserve">Repeat important info</t>
  </si>
  <si>
    <t xml:space="preserve">Reminders read the latest forecast</t>
  </si>
  <si>
    <t xml:space="preserve">reminders</t>
  </si>
  <si>
    <t xml:space="preserve">profile.ts has a reminders field; no scheduled restatement yet.</t>
  </si>
  <si>
    <t xml:space="preserve">G20</t>
  </si>
  <si>
    <t xml:space="preserve">Required letters/symbols (SI/TA)</t>
  </si>
  <si>
    <t xml:space="preserve">Font test for all strings</t>
  </si>
  <si>
    <t xml:space="preserve">G42</t>
  </si>
  <si>
    <t xml:space="preserve">Information to prepare for task</t>
  </si>
  <si>
    <t xml:space="preserve">Capability next update</t>
  </si>
  <si>
    <t xml:space="preserve">Forecast.nextUpdateAt</t>
  </si>
  <si>
    <t xml:space="preserve">Time-window invariant, Forecast.nextUpdateAt and forecast.action provide traceable timing/update/preparation data. Visible placement is a separate screen check.</t>
  </si>
  <si>
    <t xml:space="preserve">G65</t>
  </si>
  <si>
    <t xml:space="preserve">Focus not obscured</t>
  </si>
  <si>
    <t xml:space="preserve">Layout test</t>
  </si>
  <si>
    <t xml:space="preserve">1. First pass (Claude, 12 Oct)</t>
  </si>
  <si>
    <t xml:space="preserve">2. Second rating (Minindu)</t>
  </si>
  <si>
    <t xml:space="preserve">3. Re-audit (LLM judge)</t>
  </si>
  <si>
    <t xml:space="preserve">4. Final (13 Oct)</t>
  </si>
  <si>
    <t xml:space="preserve">Final differs from re-audit?</t>
  </si>
  <si>
    <t xml:space="preserve">Why the final differs</t>
  </si>
  <si>
    <t xml:space="preserve">Changed after the re-audit, 14 Oct: checkInvariants() rejects double negatives (BANNED_PHRASES, G16 group) in Layer 4 wording; tested (case "AI double negative").</t>
  </si>
  <si>
    <t xml:space="preserve">Changed after the re-audit, 14 Oct: ExplanationProfileContext saves the profile on the device, loads it at start-up, and lets it be edited (updateField, choosePreset).</t>
  </si>
  <si>
    <t xml:space="preserve">Changed after the re-audit, 14 Oct: checkInvariants() rejects idioms (BANNED_PHRASES, G17 group) in Layer 4 wording; tested (case "AI idiom").</t>
  </si>
  <si>
    <t xml:space="preserve">Guideline(s)</t>
  </si>
  <si>
    <t xml:space="preserve">Gap</t>
  </si>
  <si>
    <t xml:space="preserve">Suggested action</t>
  </si>
  <si>
    <t xml:space="preserve">Decision</t>
  </si>
  <si>
    <t xml:space="preserve">Owner</t>
  </si>
  <si>
    <t xml:space="preserve">Due</t>
  </si>
  <si>
    <t xml:space="preserve">G16, G17</t>
  </si>
  <si>
    <t xml:space="preserve">checkInvariants() does not reject double negatives ("not unlikely") or idioms in L4 wording</t>
  </si>
  <si>
    <t xml:space="preserve">Add a banned-phrase and idiom list to checkInvariants()</t>
  </si>
  <si>
    <t xml:space="preserve">Done</t>
  </si>
  <si>
    <t xml:space="preserve">Minindu</t>
  </si>
  <si>
    <t xml:space="preserve">No consequence line per forecast state ("Water may come into houses near the river")</t>
  </si>
  <si>
    <t xml:space="preserve">Add consequence text per severity class; slot already exists (Extras.consequence)</t>
  </si>
  <si>
    <t xml:space="preserve">Fix now</t>
  </si>
  <si>
    <t xml:space="preserve">Language: catalogue says it comes from the profile; 9 Oct decision said app setting</t>
  </si>
  <si>
    <t xml:space="preserve">Keep the app setting and change the catalogue line (recommended)</t>
  </si>
  <si>
    <t xml:space="preserve">Decide</t>
  </si>
  <si>
    <t xml:space="preserve">Alert mode: G124 says hazard and action only; Framework v2 keeps all five facts</t>
  </si>
  <si>
    <t xml:space="preserve">Question 2 at the supervisor meeting</t>
  </si>
  <si>
    <t xml:space="preserve">Ask Madam</t>
  </si>
  <si>
    <t xml:space="preserve">No reading-level setting in the profile</t>
  </si>
  <si>
    <t xml:space="preserve">Ask Madam, or report that templates use one Easy Read level</t>
  </si>
  <si>
    <t xml:space="preserve">No saved helper contact for "Ask someone to explain"</t>
  </si>
  <si>
    <t xml:space="preserve">Add helperContact to the profile, or report as future work</t>
  </si>
  <si>
    <t xml:space="preserve">No multi-channel change notification (text, voice, vibration)</t>
  </si>
  <si>
    <t xml:space="preserve">Report as limitation; prototype uses one channel</t>
  </si>
  <si>
    <t xml:space="preserve">Limitation</t>
  </si>
  <si>
    <t xml:space="preserve">No tap-to-define tooltips</t>
  </si>
  <si>
    <t xml:space="preserve">Report: evidence favours removing jargon over tooltips</t>
  </si>
  <si>
    <t xml:space="preserve">No calm-time practice mode</t>
  </si>
  <si>
    <t xml:space="preserve">Report as future work</t>
  </si>
  <si>
    <t xml:space="preserve">Co-design with users and carers not done</t>
  </si>
  <si>
    <t xml:space="preserve">Report as future work (no user study)</t>
  </si>
  <si>
    <t xml:space="preserve">No second carer profile or view</t>
  </si>
  <si>
    <t xml:space="preserve">Report as future work; consent record exists</t>
  </si>
  <si>
    <t xml:space="preserve">G76, G38</t>
  </si>
  <si>
    <t xml:space="preserve">Landmark levels and photos are placeholders</t>
  </si>
  <si>
    <t xml:space="preserve">Report: no source gives real landmark levels</t>
  </si>
  <si>
    <t xml:space="preserve">UI only (9)</t>
  </si>
  <si>
    <t xml:space="preserve">G15, G19, G20, G23, G24, G59, G65, G111, G120 are screen rules</t>
  </si>
  <si>
    <t xml:space="preserve">Build into screen specs S07–S11 after wireframes (22 Oct)</t>
  </si>
  <si>
    <t xml:space="preserve">Screen work</t>
  </si>
  <si>
    <t xml:space="preserve">Minindu, Supun</t>
  </si>
  <si>
    <t xml:space="preserve">Yellow cells (Decision) are yours to update as each gap is settled.</t>
  </si>
  <si>
    <t xml:space="preserve">Item</t>
  </si>
  <si>
    <t xml:space="preserve">Definition or note</t>
  </si>
  <si>
    <t xml:space="preserve">Scope</t>
  </si>
  <si>
    <t xml:space="preserve">50 XAI-relevant guidelines from the evidence catalogue v2 (38 Direct, 9 Indirect, 3 None found), checked against Framework v2 (11 Oct 2026) and the data model in ews-mobile/model/ (commit 7e65fa9).</t>
  </si>
  <si>
    <t xml:space="preserve">A named framework element (profile field, invariant, capability or layer) handles the guideline's main explanation requirement, and it can be pointed to in the data model.</t>
  </si>
  <si>
    <t xml:space="preserve">The framework handles part of it; a field, capability or rule is missing.</t>
  </si>
  <si>
    <t xml:space="preserve">A screen rule, not a framework rule. Not built yet because screens wait for wireframes (22 Oct). Not the same as missing from the framework.</t>
  </si>
  <si>
    <t xml:space="preserve">Nothing in the framework or the screens handles it yet.</t>
  </si>
  <si>
    <t xml:space="preserve">Direct / Indirect / None found is the strength of published evidence for the guideline (catalogue). It is separate from coverage.</t>
  </si>
  <si>
    <t xml:space="preserve">Process</t>
  </si>
  <si>
    <t xml:space="preserve">1. Claude first pass from the catalogue (12 Oct). 2. Minindu second rating. 3. LLM re-audit (ChatGPT as judge) of the second rating, without the code. 4. Final: re-audit kept except 15 rows corrected against the code or moved to UI only (13 Oct).</t>
  </si>
  <si>
    <t xml:space="preserve">AI use (disclose)</t>
  </si>
  <si>
    <t xml:space="preserve">Steps 1 and 3 used AI tools. The first author checked every row. Report the mapping as the authors' analysis with AI assistance; do not present the LLM re-audit as an independent rater.</t>
  </si>
  <si>
    <t xml:space="preserve">Limits</t>
  </si>
  <si>
    <t xml:space="preserve">Screens S07–S11 and theme files were not yet built, so UI-only rows are unverified. Coverage is not evidence of benefit for people with cognitive impairments.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</si>
</sst>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%"/>
    <numFmt numFmtId="167" formatCode="d\ mmm\ yyyy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6EFCE"/>
        <bgColor rgb="FFDDEBF7"/>
      </patternFill>
    </fill>
    <fill>
      <patternFill patternType="solid">
        <fgColor rgb="FFFFEB9C"/>
        <bgColor rgb="FFFFFFCC"/>
      </patternFill>
    </fill>
    <fill>
      <patternFill patternType="solid">
        <fgColor rgb="FFDDEBF7"/>
        <bgColor rgb="FFCCFFFF"/>
      </patternFill>
    </fill>
    <fill>
      <patternFill patternType="solid">
        <fgColor rgb="FFF4CCCC"/>
        <bgColor rgb="FFCCCC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DDEBF7"/>
        </patternFill>
      </fill>
    </dxf>
    <dxf>
      <fill>
        <patternFill>
          <bgColor rgb="FFF4CCCC"/>
        </patternFill>
      </fill>
    </dxf>
    <dxf>
      <fill>
        <patternFill patternType="solid">
          <fgColor rgb="FF008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7" min="2" style="1" width="15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</row>
    <row r="5" customFormat="false" ht="15" hidden="false" customHeight="true" outlineLevel="0" collapsed="false">
      <c r="A5" s="5" t="s">
        <v>3</v>
      </c>
      <c r="B5" s="5" t="s">
        <v>4</v>
      </c>
      <c r="C5" s="5" t="s">
        <v>5</v>
      </c>
    </row>
    <row r="6" customFormat="false" ht="15" hidden="false" customHeight="true" outlineLevel="0" collapsed="false">
      <c r="A6" s="6" t="s">
        <v>6</v>
      </c>
      <c r="B6" s="7" t="n">
        <f aca="false">COUNTIF('Final ratings'!$E$2:$E$51,A6)</f>
        <v>13</v>
      </c>
      <c r="C6" s="8" t="n">
        <f aca="false">IF($B$10=0,0,B6/$B$10)</f>
        <v>0.26</v>
      </c>
    </row>
    <row r="7" customFormat="false" ht="15" hidden="false" customHeight="true" outlineLevel="0" collapsed="false">
      <c r="A7" s="9" t="s">
        <v>7</v>
      </c>
      <c r="B7" s="7" t="n">
        <f aca="false">COUNTIF('Final ratings'!$E$2:$E$51,A7)</f>
        <v>20</v>
      </c>
      <c r="C7" s="8" t="n">
        <f aca="false">IF($B$10=0,0,B7/$B$10)</f>
        <v>0.4</v>
      </c>
    </row>
    <row r="8" customFormat="false" ht="15" hidden="false" customHeight="true" outlineLevel="0" collapsed="false">
      <c r="A8" s="10" t="s">
        <v>8</v>
      </c>
      <c r="B8" s="7" t="n">
        <f aca="false">COUNTIF('Final ratings'!$E$2:$E$51,A8)</f>
        <v>9</v>
      </c>
      <c r="C8" s="8" t="n">
        <f aca="false">IF($B$10=0,0,B8/$B$10)</f>
        <v>0.18</v>
      </c>
    </row>
    <row r="9" customFormat="false" ht="15" hidden="false" customHeight="true" outlineLevel="0" collapsed="false">
      <c r="A9" s="11" t="s">
        <v>9</v>
      </c>
      <c r="B9" s="7" t="n">
        <f aca="false">COUNTIF('Final ratings'!$E$2:$E$51,A9)</f>
        <v>8</v>
      </c>
      <c r="C9" s="8" t="n">
        <f aca="false">IF($B$10=0,0,B9/$B$10)</f>
        <v>0.16</v>
      </c>
    </row>
    <row r="10" customFormat="false" ht="15" hidden="false" customHeight="true" outlineLevel="0" collapsed="false">
      <c r="A10" s="12" t="s">
        <v>10</v>
      </c>
      <c r="B10" s="12" t="n">
        <f aca="false">SUM(B6:B9)</f>
        <v>50</v>
      </c>
      <c r="C10" s="13" t="n">
        <f aca="false">SUM(C6:C9)</f>
        <v>1</v>
      </c>
    </row>
    <row r="12" customFormat="false" ht="15" hidden="false" customHeight="true" outlineLevel="0" collapsed="false">
      <c r="A12" s="4" t="s">
        <v>11</v>
      </c>
    </row>
    <row r="13" customFormat="false" ht="15" hidden="false" customHeight="true" outlineLevel="0" collapsed="false">
      <c r="A13" s="5" t="s">
        <v>3</v>
      </c>
      <c r="B13" s="5" t="s">
        <v>12</v>
      </c>
      <c r="C13" s="5" t="s">
        <v>13</v>
      </c>
      <c r="D13" s="5" t="s">
        <v>14</v>
      </c>
      <c r="E13" s="5" t="s">
        <v>10</v>
      </c>
    </row>
    <row r="14" customFormat="false" ht="15" hidden="false" customHeight="true" outlineLevel="0" collapsed="false">
      <c r="A14" s="6" t="s">
        <v>6</v>
      </c>
      <c r="B14" s="7" t="n">
        <f aca="false">COUNTIFS('Final ratings'!$E$2:$E$51,$A14,'Final ratings'!$C$2:$C$51,B$13)</f>
        <v>10</v>
      </c>
      <c r="C14" s="7" t="n">
        <f aca="false">COUNTIFS('Final ratings'!$E$2:$E$51,$A14,'Final ratings'!$C$2:$C$51,C$13)</f>
        <v>2</v>
      </c>
      <c r="D14" s="7" t="n">
        <f aca="false">COUNTIFS('Final ratings'!$E$2:$E$51,$A14,'Final ratings'!$C$2:$C$51,D$13)</f>
        <v>1</v>
      </c>
      <c r="E14" s="12" t="n">
        <f aca="false">SUM(B14:D14)</f>
        <v>13</v>
      </c>
    </row>
    <row r="15" customFormat="false" ht="15" hidden="false" customHeight="true" outlineLevel="0" collapsed="false">
      <c r="A15" s="9" t="s">
        <v>7</v>
      </c>
      <c r="B15" s="7" t="n">
        <f aca="false">COUNTIFS('Final ratings'!$E$2:$E$51,$A15,'Final ratings'!$C$2:$C$51,B$13)</f>
        <v>17</v>
      </c>
      <c r="C15" s="7" t="n">
        <f aca="false">COUNTIFS('Final ratings'!$E$2:$E$51,$A15,'Final ratings'!$C$2:$C$51,C$13)</f>
        <v>3</v>
      </c>
      <c r="D15" s="7" t="n">
        <f aca="false">COUNTIFS('Final ratings'!$E$2:$E$51,$A15,'Final ratings'!$C$2:$C$51,D$13)</f>
        <v>0</v>
      </c>
      <c r="E15" s="12" t="n">
        <f aca="false">SUM(B15:D15)</f>
        <v>20</v>
      </c>
    </row>
    <row r="16" customFormat="false" ht="15" hidden="false" customHeight="true" outlineLevel="0" collapsed="false">
      <c r="A16" s="10" t="s">
        <v>8</v>
      </c>
      <c r="B16" s="7" t="n">
        <f aca="false">COUNTIFS('Final ratings'!$E$2:$E$51,$A16,'Final ratings'!$C$2:$C$51,B$13)</f>
        <v>4</v>
      </c>
      <c r="C16" s="7" t="n">
        <f aca="false">COUNTIFS('Final ratings'!$E$2:$E$51,$A16,'Final ratings'!$C$2:$C$51,C$13)</f>
        <v>3</v>
      </c>
      <c r="D16" s="7" t="n">
        <f aca="false">COUNTIFS('Final ratings'!$E$2:$E$51,$A16,'Final ratings'!$C$2:$C$51,D$13)</f>
        <v>2</v>
      </c>
      <c r="E16" s="12" t="n">
        <f aca="false">SUM(B16:D16)</f>
        <v>9</v>
      </c>
    </row>
    <row r="17" customFormat="false" ht="15" hidden="false" customHeight="true" outlineLevel="0" collapsed="false">
      <c r="A17" s="11" t="s">
        <v>9</v>
      </c>
      <c r="B17" s="7" t="n">
        <f aca="false">COUNTIFS('Final ratings'!$E$2:$E$51,$A17,'Final ratings'!$C$2:$C$51,B$13)</f>
        <v>7</v>
      </c>
      <c r="C17" s="7" t="n">
        <f aca="false">COUNTIFS('Final ratings'!$E$2:$E$51,$A17,'Final ratings'!$C$2:$C$51,C$13)</f>
        <v>1</v>
      </c>
      <c r="D17" s="7" t="n">
        <f aca="false">COUNTIFS('Final ratings'!$E$2:$E$51,$A17,'Final ratings'!$C$2:$C$51,D$13)</f>
        <v>0</v>
      </c>
      <c r="E17" s="12" t="n">
        <f aca="false">SUM(B17:D17)</f>
        <v>8</v>
      </c>
    </row>
    <row r="18" customFormat="false" ht="15" hidden="false" customHeight="true" outlineLevel="0" collapsed="false">
      <c r="A18" s="12" t="s">
        <v>10</v>
      </c>
      <c r="B18" s="12" t="n">
        <f aca="false">SUM(B14:B17)</f>
        <v>38</v>
      </c>
      <c r="C18" s="12" t="n">
        <f aca="false">SUM(C14:C17)</f>
        <v>9</v>
      </c>
      <c r="D18" s="12" t="n">
        <f aca="false">SUM(D14:D17)</f>
        <v>3</v>
      </c>
      <c r="E18" s="12" t="n">
        <f aca="false">SUM(E14:E17)</f>
        <v>50</v>
      </c>
    </row>
    <row r="20" customFormat="false" ht="15" hidden="false" customHeight="true" outlineLevel="0" collapsed="false">
      <c r="A20" s="4" t="s">
        <v>15</v>
      </c>
    </row>
    <row r="21" customFormat="false" ht="30" hidden="false" customHeight="true" outlineLevel="0" collapsed="false">
      <c r="A21" s="14" t="s">
        <v>3</v>
      </c>
      <c r="B21" s="14" t="s">
        <v>16</v>
      </c>
      <c r="C21" s="14" t="s">
        <v>17</v>
      </c>
      <c r="D21" s="14" t="s">
        <v>18</v>
      </c>
      <c r="E21" s="14" t="s">
        <v>19</v>
      </c>
    </row>
    <row r="22" customFormat="false" ht="15" hidden="false" customHeight="true" outlineLevel="0" collapsed="false">
      <c r="A22" s="6" t="s">
        <v>6</v>
      </c>
      <c r="B22" s="7" t="n">
        <f aca="false">COUNTIF('Rating history'!$C$2:$C$51,$A22)</f>
        <v>22</v>
      </c>
      <c r="C22" s="7" t="n">
        <f aca="false">COUNTIF('Rating history'!$D$2:$D$51,$A22)</f>
        <v>3</v>
      </c>
      <c r="D22" s="7" t="n">
        <f aca="false">COUNTIF('Rating history'!$E$2:$E$51,$A22)</f>
        <v>6</v>
      </c>
      <c r="E22" s="7" t="n">
        <f aca="false">COUNTIF('Rating history'!$F$2:$F$51,$A22)</f>
        <v>13</v>
      </c>
    </row>
    <row r="23" customFormat="false" ht="15" hidden="false" customHeight="true" outlineLevel="0" collapsed="false">
      <c r="A23" s="9" t="s">
        <v>7</v>
      </c>
      <c r="B23" s="7" t="n">
        <f aca="false">COUNTIF('Rating history'!$C$2:$C$51,$A23)</f>
        <v>14</v>
      </c>
      <c r="C23" s="7" t="n">
        <f aca="false">COUNTIF('Rating history'!$D$2:$D$51,$A23)</f>
        <v>27</v>
      </c>
      <c r="D23" s="7" t="n">
        <f aca="false">COUNTIF('Rating history'!$E$2:$E$51,$A23)</f>
        <v>23</v>
      </c>
      <c r="E23" s="7" t="n">
        <f aca="false">COUNTIF('Rating history'!$F$2:$F$51,$A23)</f>
        <v>20</v>
      </c>
    </row>
    <row r="24" customFormat="false" ht="15" hidden="false" customHeight="true" outlineLevel="0" collapsed="false">
      <c r="A24" s="10" t="s">
        <v>8</v>
      </c>
      <c r="B24" s="7" t="n">
        <f aca="false">COUNTIF('Rating history'!$C$2:$C$51,$A24)</f>
        <v>9</v>
      </c>
      <c r="C24" s="7" t="n">
        <f aca="false">COUNTIF('Rating history'!$D$2:$D$51,$A24)</f>
        <v>0</v>
      </c>
      <c r="D24" s="7" t="n">
        <f aca="false">COUNTIF('Rating history'!$E$2:$E$51,$A24)</f>
        <v>0</v>
      </c>
      <c r="E24" s="7" t="n">
        <f aca="false">COUNTIF('Rating history'!$F$2:$F$51,$A24)</f>
        <v>9</v>
      </c>
    </row>
    <row r="25" customFormat="false" ht="15" hidden="false" customHeight="true" outlineLevel="0" collapsed="false">
      <c r="A25" s="11" t="s">
        <v>9</v>
      </c>
      <c r="B25" s="7" t="n">
        <f aca="false">COUNTIF('Rating history'!$C$2:$C$51,$A25)</f>
        <v>5</v>
      </c>
      <c r="C25" s="7" t="n">
        <f aca="false">COUNTIF('Rating history'!$D$2:$D$51,$A25)</f>
        <v>20</v>
      </c>
      <c r="D25" s="7" t="n">
        <f aca="false">COUNTIF('Rating history'!$E$2:$E$51,$A25)</f>
        <v>21</v>
      </c>
      <c r="E25" s="7" t="n">
        <f aca="false">COUNTIF('Rating history'!$F$2:$F$51,$A25)</f>
        <v>8</v>
      </c>
    </row>
    <row r="26" customFormat="false" ht="15" hidden="false" customHeight="true" outlineLevel="0" collapsed="false">
      <c r="A26" s="12" t="s">
        <v>10</v>
      </c>
      <c r="B26" s="12" t="n">
        <f aca="false">SUM(B22:B25)</f>
        <v>50</v>
      </c>
      <c r="C26" s="12" t="n">
        <f aca="false">SUM(C22:C25)</f>
        <v>50</v>
      </c>
      <c r="D26" s="12" t="n">
        <f aca="false">SUM(D22:D25)</f>
        <v>50</v>
      </c>
      <c r="E26" s="12" t="n">
        <f aca="false">SUM(E22:E25)</f>
        <v>50</v>
      </c>
    </row>
    <row r="27" customFormat="false" ht="15" hidden="false" customHeight="true" outlineLevel="0" collapsed="false">
      <c r="A27" s="12" t="s">
        <v>20</v>
      </c>
      <c r="B27" s="12" t="n">
        <f aca="false">COUNTIF('Rating history'!$G$2:$G$51,"Yes")</f>
        <v>18</v>
      </c>
    </row>
    <row r="29" customFormat="false" ht="15" hidden="false" customHeight="true" outlineLevel="0" collapsed="false">
      <c r="A29" s="4" t="s">
        <v>21</v>
      </c>
    </row>
    <row r="30" customFormat="false" ht="45" hidden="false" customHeight="true" outlineLevel="0" collapsed="false">
      <c r="A30" s="15" t="str">
        <f aca="false">"Of the "&amp;B10&amp;" explanation-relevant guidelines, "&amp;B6&amp;" are handled by a framework element (profile field, invariant, capability or layer), "&amp;B7&amp;" partly, "&amp;B8&amp;" by the interface alone, and "&amp;B9&amp;" are not yet covered."</f>
        <v>Of the 50 explanation-relevant guidelines, 13 are handled by a framework element (profile field, invariant, capability or layer), 20 partly, 9 by the interface alone, and 8 are not yet covered.</v>
      </c>
      <c r="B30" s="15"/>
      <c r="C30" s="15"/>
      <c r="D30" s="15"/>
      <c r="E30" s="15"/>
      <c r="F30" s="15"/>
      <c r="G30" s="15"/>
    </row>
    <row r="32" customFormat="false" ht="15" hidden="false" customHeight="true" outlineLevel="0" collapsed="false">
      <c r="A32" s="3" t="s">
        <v>22</v>
      </c>
    </row>
    <row r="33" customFormat="false" ht="15" hidden="false" customHeight="true" outlineLevel="0" collapsed="false">
      <c r="A33" s="3" t="s">
        <v>23</v>
      </c>
    </row>
  </sheetData>
  <mergeCells count="1">
    <mergeCell ref="A30:G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30"/>
    <col collapsed="false" customWidth="true" hidden="false" outlineLevel="0" max="3" min="3" style="1" width="13"/>
    <col collapsed="false" customWidth="true" hidden="false" outlineLevel="0" max="4" min="4" style="1" width="10"/>
    <col collapsed="false" customWidth="true" hidden="false" outlineLevel="0" max="5" min="5" style="1" width="14"/>
    <col collapsed="false" customWidth="true" hidden="false" outlineLevel="0" max="6" min="6" style="1" width="40"/>
    <col collapsed="false" customWidth="true" hidden="false" outlineLevel="0" max="7" min="7" style="1" width="38"/>
    <col collapsed="false" customWidth="true" hidden="false" outlineLevel="0" max="8" min="8" style="1" width="70"/>
  </cols>
  <sheetData>
    <row r="1" customFormat="false" ht="30" hidden="false" customHeight="true" outlineLevel="0" collapsed="false">
      <c r="A1" s="16" t="s">
        <v>24</v>
      </c>
      <c r="B1" s="16" t="s">
        <v>25</v>
      </c>
      <c r="C1" s="16" t="s">
        <v>26</v>
      </c>
      <c r="D1" s="16" t="s">
        <v>27</v>
      </c>
      <c r="E1" s="16" t="s">
        <v>28</v>
      </c>
      <c r="F1" s="16" t="s">
        <v>29</v>
      </c>
      <c r="G1" s="16" t="s">
        <v>30</v>
      </c>
      <c r="H1" s="16" t="s">
        <v>31</v>
      </c>
    </row>
    <row r="2" customFormat="false" ht="23.25" hidden="false" customHeight="true" outlineLevel="0" collapsed="false">
      <c r="A2" s="17" t="s">
        <v>32</v>
      </c>
      <c r="B2" s="18" t="s">
        <v>33</v>
      </c>
      <c r="C2" s="19" t="s">
        <v>12</v>
      </c>
      <c r="D2" s="19" t="n">
        <v>7</v>
      </c>
      <c r="E2" s="19" t="s">
        <v>7</v>
      </c>
      <c r="F2" s="18" t="s">
        <v>34</v>
      </c>
      <c r="G2" s="18" t="s">
        <v>35</v>
      </c>
      <c r="H2" s="18" t="s">
        <v>36</v>
      </c>
    </row>
    <row r="3" customFormat="false" ht="23.25" hidden="false" customHeight="true" outlineLevel="0" collapsed="false">
      <c r="A3" s="17" t="s">
        <v>37</v>
      </c>
      <c r="B3" s="18" t="s">
        <v>38</v>
      </c>
      <c r="C3" s="19" t="s">
        <v>12</v>
      </c>
      <c r="D3" s="19" t="n">
        <v>7</v>
      </c>
      <c r="E3" s="19" t="s">
        <v>7</v>
      </c>
      <c r="F3" s="18" t="s">
        <v>39</v>
      </c>
      <c r="G3" s="18" t="s">
        <v>40</v>
      </c>
      <c r="H3" s="18" t="s">
        <v>41</v>
      </c>
    </row>
    <row r="4" customFormat="false" ht="23.25" hidden="false" customHeight="true" outlineLevel="0" collapsed="false">
      <c r="A4" s="17" t="s">
        <v>42</v>
      </c>
      <c r="B4" s="18" t="s">
        <v>43</v>
      </c>
      <c r="C4" s="19" t="s">
        <v>12</v>
      </c>
      <c r="D4" s="19" t="n">
        <v>2</v>
      </c>
      <c r="E4" s="19" t="s">
        <v>7</v>
      </c>
      <c r="F4" s="18" t="s">
        <v>44</v>
      </c>
      <c r="G4" s="18" t="s">
        <v>45</v>
      </c>
      <c r="H4" s="18" t="s">
        <v>46</v>
      </c>
    </row>
    <row r="5" customFormat="false" ht="23.25" hidden="false" customHeight="true" outlineLevel="0" collapsed="false">
      <c r="A5" s="17" t="s">
        <v>47</v>
      </c>
      <c r="B5" s="18" t="s">
        <v>48</v>
      </c>
      <c r="C5" s="19" t="s">
        <v>12</v>
      </c>
      <c r="D5" s="19" t="n">
        <v>2</v>
      </c>
      <c r="E5" s="19" t="s">
        <v>6</v>
      </c>
      <c r="F5" s="18" t="s">
        <v>49</v>
      </c>
      <c r="G5" s="18" t="s">
        <v>50</v>
      </c>
      <c r="H5" s="18" t="s">
        <v>51</v>
      </c>
    </row>
    <row r="6" customFormat="false" ht="15" hidden="false" customHeight="true" outlineLevel="0" collapsed="false">
      <c r="A6" s="17" t="s">
        <v>52</v>
      </c>
      <c r="B6" s="18" t="s">
        <v>53</v>
      </c>
      <c r="C6" s="19" t="s">
        <v>12</v>
      </c>
      <c r="D6" s="19" t="n">
        <v>3</v>
      </c>
      <c r="E6" s="19" t="s">
        <v>7</v>
      </c>
      <c r="F6" s="18" t="s">
        <v>54</v>
      </c>
      <c r="G6" s="18" t="s">
        <v>55</v>
      </c>
      <c r="H6" s="18" t="s">
        <v>56</v>
      </c>
    </row>
    <row r="7" customFormat="false" ht="23.25" hidden="false" customHeight="true" outlineLevel="0" collapsed="false">
      <c r="A7" s="17" t="s">
        <v>57</v>
      </c>
      <c r="B7" s="18" t="s">
        <v>58</v>
      </c>
      <c r="C7" s="19" t="s">
        <v>12</v>
      </c>
      <c r="D7" s="19" t="n">
        <v>3</v>
      </c>
      <c r="E7" s="19" t="s">
        <v>8</v>
      </c>
      <c r="F7" s="18" t="s">
        <v>59</v>
      </c>
      <c r="G7" s="18" t="s">
        <v>55</v>
      </c>
      <c r="H7" s="18" t="s">
        <v>60</v>
      </c>
    </row>
    <row r="8" customFormat="false" ht="23.25" hidden="false" customHeight="true" outlineLevel="0" collapsed="false">
      <c r="A8" s="17" t="s">
        <v>61</v>
      </c>
      <c r="B8" s="18" t="s">
        <v>62</v>
      </c>
      <c r="C8" s="19" t="s">
        <v>12</v>
      </c>
      <c r="D8" s="19" t="n">
        <v>3</v>
      </c>
      <c r="E8" s="19" t="s">
        <v>7</v>
      </c>
      <c r="F8" s="18" t="s">
        <v>63</v>
      </c>
      <c r="G8" s="18" t="s">
        <v>64</v>
      </c>
      <c r="H8" s="18" t="s">
        <v>65</v>
      </c>
    </row>
    <row r="9" customFormat="false" ht="23.25" hidden="false" customHeight="true" outlineLevel="0" collapsed="false">
      <c r="A9" s="17" t="s">
        <v>66</v>
      </c>
      <c r="B9" s="18" t="s">
        <v>67</v>
      </c>
      <c r="C9" s="19" t="s">
        <v>12</v>
      </c>
      <c r="D9" s="19" t="n">
        <v>4</v>
      </c>
      <c r="E9" s="19" t="s">
        <v>6</v>
      </c>
      <c r="F9" s="18" t="s">
        <v>68</v>
      </c>
      <c r="G9" s="18" t="s">
        <v>69</v>
      </c>
      <c r="H9" s="18" t="s">
        <v>70</v>
      </c>
    </row>
    <row r="10" customFormat="false" ht="23.25" hidden="false" customHeight="true" outlineLevel="0" collapsed="false">
      <c r="A10" s="17" t="s">
        <v>71</v>
      </c>
      <c r="B10" s="18" t="s">
        <v>72</v>
      </c>
      <c r="C10" s="19" t="s">
        <v>12</v>
      </c>
      <c r="D10" s="19" t="n">
        <v>4</v>
      </c>
      <c r="E10" s="19" t="s">
        <v>7</v>
      </c>
      <c r="F10" s="18" t="s">
        <v>73</v>
      </c>
      <c r="G10" s="18" t="s">
        <v>74</v>
      </c>
      <c r="H10" s="18" t="s">
        <v>75</v>
      </c>
    </row>
    <row r="11" customFormat="false" ht="23.25" hidden="false" customHeight="true" outlineLevel="0" collapsed="false">
      <c r="A11" s="17" t="s">
        <v>76</v>
      </c>
      <c r="B11" s="18" t="s">
        <v>77</v>
      </c>
      <c r="C11" s="19" t="s">
        <v>12</v>
      </c>
      <c r="D11" s="19" t="n">
        <v>4</v>
      </c>
      <c r="E11" s="19" t="s">
        <v>6</v>
      </c>
      <c r="F11" s="18" t="s">
        <v>78</v>
      </c>
      <c r="G11" s="18" t="s">
        <v>79</v>
      </c>
      <c r="H11" s="18" t="s">
        <v>80</v>
      </c>
    </row>
    <row r="12" customFormat="false" ht="23.25" hidden="false" customHeight="true" outlineLevel="0" collapsed="false">
      <c r="A12" s="17" t="s">
        <v>81</v>
      </c>
      <c r="B12" s="18" t="s">
        <v>82</v>
      </c>
      <c r="C12" s="19" t="s">
        <v>12</v>
      </c>
      <c r="D12" s="19" t="n">
        <v>8</v>
      </c>
      <c r="E12" s="19" t="s">
        <v>6</v>
      </c>
      <c r="F12" s="18" t="s">
        <v>83</v>
      </c>
      <c r="G12" s="18" t="s">
        <v>84</v>
      </c>
      <c r="H12" s="18" t="s">
        <v>85</v>
      </c>
    </row>
    <row r="13" customFormat="false" ht="23.25" hidden="false" customHeight="true" outlineLevel="0" collapsed="false">
      <c r="A13" s="17" t="s">
        <v>86</v>
      </c>
      <c r="B13" s="18" t="s">
        <v>87</v>
      </c>
      <c r="C13" s="19" t="s">
        <v>12</v>
      </c>
      <c r="D13" s="19" t="n">
        <v>5</v>
      </c>
      <c r="E13" s="19" t="s">
        <v>6</v>
      </c>
      <c r="F13" s="18" t="s">
        <v>88</v>
      </c>
      <c r="G13" s="18" t="s">
        <v>89</v>
      </c>
      <c r="H13" s="18" t="s">
        <v>90</v>
      </c>
    </row>
    <row r="14" customFormat="false" ht="23.25" hidden="false" customHeight="true" outlineLevel="0" collapsed="false">
      <c r="A14" s="17" t="s">
        <v>91</v>
      </c>
      <c r="B14" s="18" t="s">
        <v>92</v>
      </c>
      <c r="C14" s="19" t="s">
        <v>12</v>
      </c>
      <c r="D14" s="19" t="n">
        <v>8</v>
      </c>
      <c r="E14" s="19" t="s">
        <v>9</v>
      </c>
      <c r="F14" s="18" t="s">
        <v>93</v>
      </c>
      <c r="G14" s="18" t="s">
        <v>94</v>
      </c>
      <c r="H14" s="18" t="s">
        <v>95</v>
      </c>
    </row>
    <row r="15" customFormat="false" ht="23.25" hidden="false" customHeight="true" outlineLevel="0" collapsed="false">
      <c r="A15" s="17" t="s">
        <v>96</v>
      </c>
      <c r="B15" s="18" t="s">
        <v>97</v>
      </c>
      <c r="C15" s="19" t="s">
        <v>12</v>
      </c>
      <c r="D15" s="19" t="n">
        <v>5</v>
      </c>
      <c r="E15" s="19" t="s">
        <v>7</v>
      </c>
      <c r="F15" s="18" t="s">
        <v>98</v>
      </c>
      <c r="G15" s="18" t="s">
        <v>99</v>
      </c>
      <c r="H15" s="18" t="s">
        <v>100</v>
      </c>
    </row>
    <row r="16" customFormat="false" ht="23.25" hidden="false" customHeight="true" outlineLevel="0" collapsed="false">
      <c r="A16" s="17" t="s">
        <v>101</v>
      </c>
      <c r="B16" s="18" t="s">
        <v>102</v>
      </c>
      <c r="C16" s="19" t="s">
        <v>12</v>
      </c>
      <c r="D16" s="19" t="n">
        <v>8</v>
      </c>
      <c r="E16" s="19" t="s">
        <v>7</v>
      </c>
      <c r="F16" s="18" t="s">
        <v>103</v>
      </c>
      <c r="G16" s="18" t="s">
        <v>104</v>
      </c>
      <c r="H16" s="18" t="s">
        <v>105</v>
      </c>
    </row>
    <row r="17" customFormat="false" ht="23.25" hidden="false" customHeight="true" outlineLevel="0" collapsed="false">
      <c r="A17" s="17" t="s">
        <v>106</v>
      </c>
      <c r="B17" s="18" t="s">
        <v>107</v>
      </c>
      <c r="C17" s="19" t="s">
        <v>12</v>
      </c>
      <c r="D17" s="19" t="n">
        <v>9</v>
      </c>
      <c r="E17" s="19" t="s">
        <v>7</v>
      </c>
      <c r="F17" s="18" t="s">
        <v>108</v>
      </c>
      <c r="G17" s="18" t="s">
        <v>109</v>
      </c>
      <c r="H17" s="18" t="s">
        <v>110</v>
      </c>
    </row>
    <row r="18" customFormat="false" ht="15" hidden="false" customHeight="true" outlineLevel="0" collapsed="false">
      <c r="A18" s="17" t="s">
        <v>111</v>
      </c>
      <c r="B18" s="18" t="s">
        <v>112</v>
      </c>
      <c r="C18" s="19" t="s">
        <v>12</v>
      </c>
      <c r="D18" s="19" t="n">
        <v>9</v>
      </c>
      <c r="E18" s="19" t="s">
        <v>6</v>
      </c>
      <c r="F18" s="18" t="s">
        <v>113</v>
      </c>
      <c r="G18" s="18" t="s">
        <v>114</v>
      </c>
      <c r="H18" s="18" t="s">
        <v>115</v>
      </c>
    </row>
    <row r="19" customFormat="false" ht="23.25" hidden="false" customHeight="true" outlineLevel="0" collapsed="false">
      <c r="A19" s="17" t="s">
        <v>116</v>
      </c>
      <c r="B19" s="18" t="s">
        <v>117</v>
      </c>
      <c r="C19" s="19" t="s">
        <v>12</v>
      </c>
      <c r="D19" s="19" t="n">
        <v>5</v>
      </c>
      <c r="E19" s="19" t="s">
        <v>8</v>
      </c>
      <c r="F19" s="18" t="s">
        <v>118</v>
      </c>
      <c r="G19" s="18" t="s">
        <v>119</v>
      </c>
      <c r="H19" s="18" t="s">
        <v>60</v>
      </c>
    </row>
    <row r="20" customFormat="false" ht="23.25" hidden="false" customHeight="true" outlineLevel="0" collapsed="false">
      <c r="A20" s="17" t="s">
        <v>120</v>
      </c>
      <c r="B20" s="18" t="s">
        <v>121</v>
      </c>
      <c r="C20" s="19" t="s">
        <v>12</v>
      </c>
      <c r="D20" s="19" t="n">
        <v>9</v>
      </c>
      <c r="E20" s="19" t="s">
        <v>9</v>
      </c>
      <c r="F20" s="18" t="s">
        <v>122</v>
      </c>
      <c r="G20" s="18" t="s">
        <v>123</v>
      </c>
      <c r="H20" s="18" t="s">
        <v>124</v>
      </c>
    </row>
    <row r="21" customFormat="false" ht="23.25" hidden="false" customHeight="true" outlineLevel="0" collapsed="false">
      <c r="A21" s="17" t="s">
        <v>125</v>
      </c>
      <c r="B21" s="18" t="s">
        <v>126</v>
      </c>
      <c r="C21" s="19" t="s">
        <v>12</v>
      </c>
      <c r="D21" s="19" t="n">
        <v>5</v>
      </c>
      <c r="E21" s="19" t="s">
        <v>6</v>
      </c>
      <c r="F21" s="18" t="s">
        <v>127</v>
      </c>
      <c r="G21" s="18" t="s">
        <v>128</v>
      </c>
      <c r="H21" s="18" t="s">
        <v>129</v>
      </c>
    </row>
    <row r="22" customFormat="false" ht="23.25" hidden="false" customHeight="true" outlineLevel="0" collapsed="false">
      <c r="A22" s="17" t="s">
        <v>130</v>
      </c>
      <c r="B22" s="18" t="s">
        <v>131</v>
      </c>
      <c r="C22" s="19" t="s">
        <v>12</v>
      </c>
      <c r="D22" s="19" t="n">
        <v>9</v>
      </c>
      <c r="E22" s="19" t="s">
        <v>7</v>
      </c>
      <c r="F22" s="18" t="s">
        <v>132</v>
      </c>
      <c r="G22" s="18" t="s">
        <v>133</v>
      </c>
      <c r="H22" s="18" t="s">
        <v>134</v>
      </c>
    </row>
    <row r="23" customFormat="false" ht="23.25" hidden="false" customHeight="true" outlineLevel="0" collapsed="false">
      <c r="A23" s="17" t="s">
        <v>135</v>
      </c>
      <c r="B23" s="18" t="s">
        <v>136</v>
      </c>
      <c r="C23" s="19" t="s">
        <v>12</v>
      </c>
      <c r="D23" s="19" t="n">
        <v>10</v>
      </c>
      <c r="E23" s="19" t="s">
        <v>7</v>
      </c>
      <c r="F23" s="18" t="s">
        <v>137</v>
      </c>
      <c r="G23" s="18" t="s">
        <v>55</v>
      </c>
      <c r="H23" s="18" t="s">
        <v>138</v>
      </c>
    </row>
    <row r="24" customFormat="false" ht="15" hidden="false" customHeight="true" outlineLevel="0" collapsed="false">
      <c r="A24" s="17" t="s">
        <v>139</v>
      </c>
      <c r="B24" s="18" t="s">
        <v>140</v>
      </c>
      <c r="C24" s="19" t="s">
        <v>12</v>
      </c>
      <c r="D24" s="19" t="n">
        <v>10</v>
      </c>
      <c r="E24" s="19" t="s">
        <v>9</v>
      </c>
      <c r="F24" s="18" t="s">
        <v>141</v>
      </c>
      <c r="G24" s="18" t="s">
        <v>142</v>
      </c>
      <c r="H24" s="18" t="s">
        <v>143</v>
      </c>
    </row>
    <row r="25" customFormat="false" ht="15" hidden="false" customHeight="true" outlineLevel="0" collapsed="false">
      <c r="A25" s="17" t="s">
        <v>144</v>
      </c>
      <c r="B25" s="18" t="s">
        <v>145</v>
      </c>
      <c r="C25" s="19" t="s">
        <v>12</v>
      </c>
      <c r="D25" s="19" t="n">
        <v>10</v>
      </c>
      <c r="E25" s="19" t="s">
        <v>7</v>
      </c>
      <c r="F25" s="18" t="s">
        <v>146</v>
      </c>
      <c r="G25" s="18" t="s">
        <v>147</v>
      </c>
      <c r="H25" s="18" t="s">
        <v>148</v>
      </c>
    </row>
    <row r="26" customFormat="false" ht="34.5" hidden="false" customHeight="true" outlineLevel="0" collapsed="false">
      <c r="A26" s="17" t="s">
        <v>149</v>
      </c>
      <c r="B26" s="18" t="s">
        <v>150</v>
      </c>
      <c r="C26" s="19" t="s">
        <v>12</v>
      </c>
      <c r="D26" s="19" t="n">
        <v>10</v>
      </c>
      <c r="E26" s="19" t="s">
        <v>6</v>
      </c>
      <c r="F26" s="18" t="s">
        <v>151</v>
      </c>
      <c r="G26" s="18" t="s">
        <v>152</v>
      </c>
      <c r="H26" s="18" t="s">
        <v>153</v>
      </c>
    </row>
    <row r="27" customFormat="false" ht="23.25" hidden="false" customHeight="true" outlineLevel="0" collapsed="false">
      <c r="A27" s="17" t="s">
        <v>154</v>
      </c>
      <c r="B27" s="18" t="s">
        <v>155</v>
      </c>
      <c r="C27" s="19" t="s">
        <v>12</v>
      </c>
      <c r="D27" s="19" t="n">
        <v>11</v>
      </c>
      <c r="E27" s="19" t="s">
        <v>7</v>
      </c>
      <c r="F27" s="18" t="s">
        <v>156</v>
      </c>
      <c r="G27" s="18" t="s">
        <v>157</v>
      </c>
      <c r="H27" s="18" t="s">
        <v>158</v>
      </c>
    </row>
    <row r="28" customFormat="false" ht="23.25" hidden="false" customHeight="true" outlineLevel="0" collapsed="false">
      <c r="A28" s="17" t="s">
        <v>159</v>
      </c>
      <c r="B28" s="18" t="s">
        <v>160</v>
      </c>
      <c r="C28" s="19" t="s">
        <v>12</v>
      </c>
      <c r="D28" s="19" t="n">
        <v>6</v>
      </c>
      <c r="E28" s="19" t="s">
        <v>7</v>
      </c>
      <c r="F28" s="18" t="s">
        <v>161</v>
      </c>
      <c r="G28" s="18" t="s">
        <v>162</v>
      </c>
      <c r="H28" s="18" t="s">
        <v>163</v>
      </c>
    </row>
    <row r="29" customFormat="false" ht="23.25" hidden="false" customHeight="true" outlineLevel="0" collapsed="false">
      <c r="A29" s="17" t="s">
        <v>164</v>
      </c>
      <c r="B29" s="18" t="s">
        <v>165</v>
      </c>
      <c r="C29" s="19" t="s">
        <v>12</v>
      </c>
      <c r="D29" s="19" t="n">
        <v>11</v>
      </c>
      <c r="E29" s="19" t="s">
        <v>7</v>
      </c>
      <c r="F29" s="18" t="s">
        <v>166</v>
      </c>
      <c r="G29" s="18" t="s">
        <v>167</v>
      </c>
      <c r="H29" s="18" t="s">
        <v>168</v>
      </c>
    </row>
    <row r="30" customFormat="false" ht="23.25" hidden="false" customHeight="true" outlineLevel="0" collapsed="false">
      <c r="A30" s="17" t="s">
        <v>169</v>
      </c>
      <c r="B30" s="18" t="s">
        <v>170</v>
      </c>
      <c r="C30" s="19" t="s">
        <v>12</v>
      </c>
      <c r="D30" s="19" t="n">
        <v>11</v>
      </c>
      <c r="E30" s="19" t="s">
        <v>8</v>
      </c>
      <c r="F30" s="18" t="s">
        <v>171</v>
      </c>
      <c r="G30" s="18" t="s">
        <v>172</v>
      </c>
      <c r="H30" s="18" t="s">
        <v>60</v>
      </c>
    </row>
    <row r="31" customFormat="false" ht="23.25" hidden="false" customHeight="true" outlineLevel="0" collapsed="false">
      <c r="A31" s="17" t="s">
        <v>173</v>
      </c>
      <c r="B31" s="18" t="s">
        <v>174</v>
      </c>
      <c r="C31" s="19" t="s">
        <v>12</v>
      </c>
      <c r="D31" s="19" t="n">
        <v>12</v>
      </c>
      <c r="E31" s="19" t="s">
        <v>7</v>
      </c>
      <c r="F31" s="18" t="s">
        <v>175</v>
      </c>
      <c r="G31" s="18" t="s">
        <v>176</v>
      </c>
      <c r="H31" s="18" t="s">
        <v>177</v>
      </c>
    </row>
    <row r="32" customFormat="false" ht="15" hidden="false" customHeight="true" outlineLevel="0" collapsed="false">
      <c r="A32" s="17" t="s">
        <v>178</v>
      </c>
      <c r="B32" s="18" t="s">
        <v>179</v>
      </c>
      <c r="C32" s="19" t="s">
        <v>12</v>
      </c>
      <c r="D32" s="19" t="n">
        <v>12</v>
      </c>
      <c r="E32" s="19" t="s">
        <v>9</v>
      </c>
      <c r="F32" s="18" t="s">
        <v>180</v>
      </c>
      <c r="G32" s="18" t="s">
        <v>181</v>
      </c>
      <c r="H32" s="18" t="s">
        <v>182</v>
      </c>
    </row>
    <row r="33" customFormat="false" ht="23.25" hidden="false" customHeight="true" outlineLevel="0" collapsed="false">
      <c r="A33" s="17" t="s">
        <v>183</v>
      </c>
      <c r="B33" s="18" t="s">
        <v>184</v>
      </c>
      <c r="C33" s="19" t="s">
        <v>12</v>
      </c>
      <c r="D33" s="19" t="n">
        <v>6</v>
      </c>
      <c r="E33" s="19" t="s">
        <v>9</v>
      </c>
      <c r="F33" s="18" t="s">
        <v>185</v>
      </c>
      <c r="G33" s="18" t="s">
        <v>186</v>
      </c>
      <c r="H33" s="18" t="s">
        <v>187</v>
      </c>
    </row>
    <row r="34" customFormat="false" ht="23.25" hidden="false" customHeight="true" outlineLevel="0" collapsed="false">
      <c r="A34" s="17" t="s">
        <v>188</v>
      </c>
      <c r="B34" s="18" t="s">
        <v>189</v>
      </c>
      <c r="C34" s="19" t="s">
        <v>12</v>
      </c>
      <c r="D34" s="19" t="n">
        <v>6</v>
      </c>
      <c r="E34" s="19" t="s">
        <v>6</v>
      </c>
      <c r="F34" s="18" t="s">
        <v>190</v>
      </c>
      <c r="G34" s="18" t="s">
        <v>191</v>
      </c>
      <c r="H34" s="18" t="s">
        <v>192</v>
      </c>
    </row>
    <row r="35" customFormat="false" ht="23.25" hidden="false" customHeight="true" outlineLevel="0" collapsed="false">
      <c r="A35" s="17" t="s">
        <v>193</v>
      </c>
      <c r="B35" s="18" t="s">
        <v>194</v>
      </c>
      <c r="C35" s="19" t="s">
        <v>12</v>
      </c>
      <c r="D35" s="19" t="n">
        <v>7</v>
      </c>
      <c r="E35" s="19" t="s">
        <v>8</v>
      </c>
      <c r="F35" s="18" t="s">
        <v>195</v>
      </c>
      <c r="G35" s="18" t="s">
        <v>196</v>
      </c>
      <c r="H35" s="18" t="s">
        <v>60</v>
      </c>
    </row>
    <row r="36" customFormat="false" ht="15" hidden="false" customHeight="true" outlineLevel="0" collapsed="false">
      <c r="A36" s="17" t="s">
        <v>197</v>
      </c>
      <c r="B36" s="18" t="s">
        <v>198</v>
      </c>
      <c r="C36" s="19" t="s">
        <v>12</v>
      </c>
      <c r="D36" s="19" t="n">
        <v>12</v>
      </c>
      <c r="E36" s="19" t="s">
        <v>9</v>
      </c>
      <c r="F36" s="18" t="s">
        <v>199</v>
      </c>
      <c r="G36" s="18" t="s">
        <v>200</v>
      </c>
      <c r="H36" s="18" t="s">
        <v>201</v>
      </c>
    </row>
    <row r="37" customFormat="false" ht="23.25" hidden="false" customHeight="true" outlineLevel="0" collapsed="false">
      <c r="A37" s="17" t="s">
        <v>202</v>
      </c>
      <c r="B37" s="18" t="s">
        <v>203</v>
      </c>
      <c r="C37" s="19" t="s">
        <v>12</v>
      </c>
      <c r="D37" s="19" t="n">
        <v>13</v>
      </c>
      <c r="E37" s="19" t="s">
        <v>7</v>
      </c>
      <c r="F37" s="18" t="s">
        <v>204</v>
      </c>
      <c r="G37" s="18" t="s">
        <v>205</v>
      </c>
      <c r="H37" s="18" t="s">
        <v>206</v>
      </c>
    </row>
    <row r="38" customFormat="false" ht="15" hidden="false" customHeight="true" outlineLevel="0" collapsed="false">
      <c r="A38" s="17" t="s">
        <v>207</v>
      </c>
      <c r="B38" s="18" t="s">
        <v>208</v>
      </c>
      <c r="C38" s="19" t="s">
        <v>12</v>
      </c>
      <c r="D38" s="19" t="n">
        <v>13</v>
      </c>
      <c r="E38" s="19" t="s">
        <v>9</v>
      </c>
      <c r="F38" s="18" t="s">
        <v>209</v>
      </c>
      <c r="G38" s="18" t="s">
        <v>94</v>
      </c>
      <c r="H38" s="18" t="s">
        <v>210</v>
      </c>
    </row>
    <row r="39" customFormat="false" ht="15" hidden="false" customHeight="true" outlineLevel="0" collapsed="false">
      <c r="A39" s="17" t="s">
        <v>211</v>
      </c>
      <c r="B39" s="18" t="s">
        <v>212</v>
      </c>
      <c r="C39" s="19" t="s">
        <v>12</v>
      </c>
      <c r="D39" s="19" t="n">
        <v>13</v>
      </c>
      <c r="E39" s="19" t="s">
        <v>6</v>
      </c>
      <c r="F39" s="18" t="s">
        <v>213</v>
      </c>
      <c r="G39" s="18" t="s">
        <v>214</v>
      </c>
      <c r="H39" s="18" t="s">
        <v>215</v>
      </c>
    </row>
    <row r="40" customFormat="false" ht="23.25" hidden="false" customHeight="true" outlineLevel="0" collapsed="false">
      <c r="A40" s="17" t="s">
        <v>216</v>
      </c>
      <c r="B40" s="18" t="s">
        <v>217</v>
      </c>
      <c r="C40" s="19" t="s">
        <v>13</v>
      </c>
      <c r="D40" s="19" t="n">
        <v>14</v>
      </c>
      <c r="E40" s="19" t="s">
        <v>8</v>
      </c>
      <c r="F40" s="18" t="s">
        <v>218</v>
      </c>
      <c r="G40" s="18" t="s">
        <v>55</v>
      </c>
      <c r="H40" s="18" t="s">
        <v>60</v>
      </c>
    </row>
    <row r="41" customFormat="false" ht="15" hidden="false" customHeight="true" outlineLevel="0" collapsed="false">
      <c r="A41" s="17" t="s">
        <v>219</v>
      </c>
      <c r="B41" s="18" t="s">
        <v>220</v>
      </c>
      <c r="C41" s="19" t="s">
        <v>13</v>
      </c>
      <c r="D41" s="19" t="n">
        <v>14</v>
      </c>
      <c r="E41" s="19" t="s">
        <v>6</v>
      </c>
      <c r="F41" s="18" t="s">
        <v>221</v>
      </c>
      <c r="G41" s="18" t="s">
        <v>50</v>
      </c>
      <c r="H41" s="18" t="s">
        <v>222</v>
      </c>
    </row>
    <row r="42" customFormat="false" ht="23.25" hidden="false" customHeight="true" outlineLevel="0" collapsed="false">
      <c r="A42" s="17" t="s">
        <v>223</v>
      </c>
      <c r="B42" s="18" t="s">
        <v>224</v>
      </c>
      <c r="C42" s="19" t="s">
        <v>13</v>
      </c>
      <c r="D42" s="19" t="n">
        <v>14</v>
      </c>
      <c r="E42" s="19" t="s">
        <v>8</v>
      </c>
      <c r="F42" s="18" t="s">
        <v>225</v>
      </c>
      <c r="G42" s="18" t="s">
        <v>55</v>
      </c>
      <c r="H42" s="18" t="s">
        <v>60</v>
      </c>
    </row>
    <row r="43" customFormat="false" ht="23.25" hidden="false" customHeight="true" outlineLevel="0" collapsed="false">
      <c r="A43" s="17" t="s">
        <v>226</v>
      </c>
      <c r="B43" s="18" t="s">
        <v>227</v>
      </c>
      <c r="C43" s="19" t="s">
        <v>13</v>
      </c>
      <c r="D43" s="19" t="n">
        <v>15</v>
      </c>
      <c r="E43" s="19" t="s">
        <v>8</v>
      </c>
      <c r="F43" s="18" t="s">
        <v>225</v>
      </c>
      <c r="G43" s="18" t="s">
        <v>55</v>
      </c>
      <c r="H43" s="18" t="s">
        <v>60</v>
      </c>
    </row>
    <row r="44" customFormat="false" ht="23.25" hidden="false" customHeight="true" outlineLevel="0" collapsed="false">
      <c r="A44" s="17" t="s">
        <v>228</v>
      </c>
      <c r="B44" s="18" t="s">
        <v>229</v>
      </c>
      <c r="C44" s="19" t="s">
        <v>13</v>
      </c>
      <c r="D44" s="19" t="n">
        <v>15</v>
      </c>
      <c r="E44" s="19" t="s">
        <v>9</v>
      </c>
      <c r="F44" s="18" t="s">
        <v>230</v>
      </c>
      <c r="G44" s="18" t="s">
        <v>231</v>
      </c>
      <c r="H44" s="18" t="s">
        <v>232</v>
      </c>
    </row>
    <row r="45" customFormat="false" ht="23.25" hidden="false" customHeight="true" outlineLevel="0" collapsed="false">
      <c r="A45" s="17" t="s">
        <v>233</v>
      </c>
      <c r="B45" s="18" t="s">
        <v>234</v>
      </c>
      <c r="C45" s="19" t="s">
        <v>13</v>
      </c>
      <c r="D45" s="19" t="n">
        <v>14</v>
      </c>
      <c r="E45" s="19" t="s">
        <v>7</v>
      </c>
      <c r="F45" s="18" t="s">
        <v>235</v>
      </c>
      <c r="G45" s="18" t="s">
        <v>236</v>
      </c>
      <c r="H45" s="18" t="s">
        <v>237</v>
      </c>
    </row>
    <row r="46" customFormat="false" ht="23.25" hidden="false" customHeight="true" outlineLevel="0" collapsed="false">
      <c r="A46" s="17" t="s">
        <v>238</v>
      </c>
      <c r="B46" s="18" t="s">
        <v>239</v>
      </c>
      <c r="C46" s="19" t="s">
        <v>13</v>
      </c>
      <c r="D46" s="19" t="n">
        <v>15</v>
      </c>
      <c r="E46" s="19" t="s">
        <v>7</v>
      </c>
      <c r="F46" s="18" t="s">
        <v>240</v>
      </c>
      <c r="G46" s="18" t="s">
        <v>241</v>
      </c>
      <c r="H46" s="18" t="s">
        <v>242</v>
      </c>
    </row>
    <row r="47" customFormat="false" ht="15" hidden="false" customHeight="true" outlineLevel="0" collapsed="false">
      <c r="A47" s="17" t="s">
        <v>243</v>
      </c>
      <c r="B47" s="18" t="s">
        <v>244</v>
      </c>
      <c r="C47" s="19" t="s">
        <v>13</v>
      </c>
      <c r="D47" s="19" t="n">
        <v>15</v>
      </c>
      <c r="E47" s="19" t="s">
        <v>6</v>
      </c>
      <c r="F47" s="18" t="s">
        <v>245</v>
      </c>
      <c r="G47" s="18" t="s">
        <v>246</v>
      </c>
      <c r="H47" s="18" t="s">
        <v>247</v>
      </c>
    </row>
    <row r="48" customFormat="false" ht="15" hidden="false" customHeight="true" outlineLevel="0" collapsed="false">
      <c r="A48" s="17" t="s">
        <v>248</v>
      </c>
      <c r="B48" s="18" t="s">
        <v>249</v>
      </c>
      <c r="C48" s="19" t="s">
        <v>13</v>
      </c>
      <c r="D48" s="19" t="n">
        <v>16</v>
      </c>
      <c r="E48" s="19" t="s">
        <v>7</v>
      </c>
      <c r="F48" s="18" t="s">
        <v>250</v>
      </c>
      <c r="G48" s="18" t="s">
        <v>251</v>
      </c>
      <c r="H48" s="18" t="s">
        <v>252</v>
      </c>
    </row>
    <row r="49" customFormat="false" ht="23.25" hidden="false" customHeight="true" outlineLevel="0" collapsed="false">
      <c r="A49" s="17" t="s">
        <v>253</v>
      </c>
      <c r="B49" s="18" t="s">
        <v>254</v>
      </c>
      <c r="C49" s="19" t="s">
        <v>14</v>
      </c>
      <c r="D49" s="19" t="n">
        <v>17</v>
      </c>
      <c r="E49" s="19" t="s">
        <v>8</v>
      </c>
      <c r="F49" s="18" t="s">
        <v>255</v>
      </c>
      <c r="G49" s="18" t="s">
        <v>94</v>
      </c>
      <c r="H49" s="18" t="s">
        <v>60</v>
      </c>
    </row>
    <row r="50" customFormat="false" ht="23.25" hidden="false" customHeight="true" outlineLevel="0" collapsed="false">
      <c r="A50" s="17" t="s">
        <v>256</v>
      </c>
      <c r="B50" s="18" t="s">
        <v>257</v>
      </c>
      <c r="C50" s="19" t="s">
        <v>14</v>
      </c>
      <c r="D50" s="19" t="n">
        <v>17</v>
      </c>
      <c r="E50" s="19" t="s">
        <v>6</v>
      </c>
      <c r="F50" s="18" t="s">
        <v>258</v>
      </c>
      <c r="G50" s="18" t="s">
        <v>259</v>
      </c>
      <c r="H50" s="18" t="s">
        <v>260</v>
      </c>
    </row>
    <row r="51" customFormat="false" ht="23.25" hidden="false" customHeight="true" outlineLevel="0" collapsed="false">
      <c r="A51" s="17" t="s">
        <v>261</v>
      </c>
      <c r="B51" s="18" t="s">
        <v>262</v>
      </c>
      <c r="C51" s="19" t="s">
        <v>14</v>
      </c>
      <c r="D51" s="19" t="n">
        <v>17</v>
      </c>
      <c r="E51" s="19" t="s">
        <v>8</v>
      </c>
      <c r="F51" s="18" t="s">
        <v>263</v>
      </c>
      <c r="G51" s="18" t="s">
        <v>55</v>
      </c>
      <c r="H51" s="18" t="s">
        <v>60</v>
      </c>
    </row>
  </sheetData>
  <autoFilter ref="A1:H51"/>
  <conditionalFormatting sqref="E2:E51">
    <cfRule type="expression" priority="2" aboveAverage="0" equalAverage="0" bottom="0" percent="0" rank="0" text="" dxfId="7">
      <formula>$E2="Covered"</formula>
    </cfRule>
    <cfRule type="expression" priority="3" aboveAverage="0" equalAverage="0" bottom="0" percent="0" rank="0" text="" dxfId="8">
      <formula>$E2="Partly"</formula>
    </cfRule>
    <cfRule type="expression" priority="4" aboveAverage="0" equalAverage="0" bottom="0" percent="0" rank="0" text="" dxfId="9">
      <formula>$E2="UI only"</formula>
    </cfRule>
    <cfRule type="expression" priority="5" aboveAverage="0" equalAverage="0" bottom="0" percent="0" rank="0" text="" dxfId="10">
      <formula>$E2="Not covered"</formula>
    </cfRule>
  </conditionalFormatting>
  <dataValidations count="1">
    <dataValidation allowBlank="false" errorStyle="stop" operator="between" showDropDown="false" showErrorMessage="false" showInputMessage="false" sqref="E2:E51" type="list">
      <formula1>"Covered,Partly,UI only,Not covered"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30"/>
    <col collapsed="false" customWidth="true" hidden="false" outlineLevel="0" max="5" min="3" style="1" width="16"/>
    <col collapsed="false" customWidth="true" hidden="false" outlineLevel="0" max="7" min="6" style="1" width="14"/>
    <col collapsed="false" customWidth="true" hidden="false" outlineLevel="0" max="8" min="8" style="1" width="70"/>
  </cols>
  <sheetData>
    <row r="1" customFormat="false" ht="30" hidden="false" customHeight="true" outlineLevel="0" collapsed="false">
      <c r="A1" s="16" t="s">
        <v>24</v>
      </c>
      <c r="B1" s="16" t="s">
        <v>25</v>
      </c>
      <c r="C1" s="16" t="s">
        <v>264</v>
      </c>
      <c r="D1" s="16" t="s">
        <v>265</v>
      </c>
      <c r="E1" s="16" t="s">
        <v>266</v>
      </c>
      <c r="F1" s="16" t="s">
        <v>267</v>
      </c>
      <c r="G1" s="16" t="s">
        <v>268</v>
      </c>
      <c r="H1" s="16" t="s">
        <v>269</v>
      </c>
    </row>
    <row r="2" customFormat="false" ht="15" hidden="false" customHeight="true" outlineLevel="0" collapsed="false">
      <c r="A2" s="17" t="s">
        <v>32</v>
      </c>
      <c r="B2" s="18" t="s">
        <v>33</v>
      </c>
      <c r="C2" s="19" t="s">
        <v>7</v>
      </c>
      <c r="D2" s="19" t="s">
        <v>7</v>
      </c>
      <c r="E2" s="19" t="s">
        <v>7</v>
      </c>
      <c r="F2" s="20" t="str">
        <f aca="false">INDEX('Final ratings'!$E$2:$E$51,MATCH(A2,'Final ratings'!$A$2:$A$51,0))</f>
        <v>Partly</v>
      </c>
      <c r="G2" s="19" t="str">
        <f aca="false">IF(F2&lt;&gt;E2,"Yes","")</f>
        <v/>
      </c>
      <c r="H2" s="18"/>
    </row>
    <row r="3" customFormat="false" ht="15" hidden="false" customHeight="true" outlineLevel="0" collapsed="false">
      <c r="A3" s="17" t="s">
        <v>37</v>
      </c>
      <c r="B3" s="18" t="s">
        <v>38</v>
      </c>
      <c r="C3" s="19" t="s">
        <v>6</v>
      </c>
      <c r="D3" s="19" t="s">
        <v>7</v>
      </c>
      <c r="E3" s="19" t="s">
        <v>7</v>
      </c>
      <c r="F3" s="20" t="str">
        <f aca="false">INDEX('Final ratings'!$E$2:$E$51,MATCH(A3,'Final ratings'!$A$2:$A$51,0))</f>
        <v>Partly</v>
      </c>
      <c r="G3" s="19" t="str">
        <f aca="false">IF(F3&lt;&gt;E3,"Yes","")</f>
        <v/>
      </c>
      <c r="H3" s="18"/>
    </row>
    <row r="4" customFormat="false" ht="15" hidden="false" customHeight="true" outlineLevel="0" collapsed="false">
      <c r="A4" s="17" t="s">
        <v>42</v>
      </c>
      <c r="B4" s="18" t="s">
        <v>43</v>
      </c>
      <c r="C4" s="19" t="s">
        <v>6</v>
      </c>
      <c r="D4" s="19" t="s">
        <v>7</v>
      </c>
      <c r="E4" s="19" t="s">
        <v>7</v>
      </c>
      <c r="F4" s="20" t="str">
        <f aca="false">INDEX('Final ratings'!$E$2:$E$51,MATCH(A4,'Final ratings'!$A$2:$A$51,0))</f>
        <v>Partly</v>
      </c>
      <c r="G4" s="19" t="str">
        <f aca="false">IF(F4&lt;&gt;E4,"Yes","")</f>
        <v/>
      </c>
      <c r="H4" s="18"/>
    </row>
    <row r="5" customFormat="false" ht="15" hidden="false" customHeight="true" outlineLevel="0" collapsed="false">
      <c r="A5" s="17" t="s">
        <v>47</v>
      </c>
      <c r="B5" s="18" t="s">
        <v>48</v>
      </c>
      <c r="C5" s="19" t="s">
        <v>7</v>
      </c>
      <c r="D5" s="19" t="s">
        <v>9</v>
      </c>
      <c r="E5" s="19" t="s">
        <v>9</v>
      </c>
      <c r="F5" s="20" t="str">
        <f aca="false">INDEX('Final ratings'!$E$2:$E$51,MATCH(A5,'Final ratings'!$A$2:$A$51,0))</f>
        <v>Covered</v>
      </c>
      <c r="G5" s="19" t="str">
        <f aca="false">IF(F5&lt;&gt;E5,"Yes","")</f>
        <v>Yes</v>
      </c>
      <c r="H5" s="18" t="s">
        <v>270</v>
      </c>
    </row>
    <row r="6" customFormat="false" ht="15" hidden="false" customHeight="true" outlineLevel="0" collapsed="false">
      <c r="A6" s="17" t="s">
        <v>52</v>
      </c>
      <c r="B6" s="18" t="s">
        <v>53</v>
      </c>
      <c r="C6" s="19" t="s">
        <v>8</v>
      </c>
      <c r="D6" s="19" t="s">
        <v>7</v>
      </c>
      <c r="E6" s="19" t="s">
        <v>7</v>
      </c>
      <c r="F6" s="20" t="str">
        <f aca="false">INDEX('Final ratings'!$E$2:$E$51,MATCH(A6,'Final ratings'!$A$2:$A$51,0))</f>
        <v>Partly</v>
      </c>
      <c r="G6" s="19" t="str">
        <f aca="false">IF(F6&lt;&gt;E6,"Yes","")</f>
        <v/>
      </c>
      <c r="H6" s="18"/>
    </row>
    <row r="7" customFormat="false" ht="23.25" hidden="false" customHeight="true" outlineLevel="0" collapsed="false">
      <c r="A7" s="17" t="s">
        <v>57</v>
      </c>
      <c r="B7" s="18" t="s">
        <v>58</v>
      </c>
      <c r="C7" s="19" t="s">
        <v>8</v>
      </c>
      <c r="D7" s="19" t="s">
        <v>9</v>
      </c>
      <c r="E7" s="19" t="s">
        <v>9</v>
      </c>
      <c r="F7" s="20" t="str">
        <f aca="false">INDEX('Final ratings'!$E$2:$E$51,MATCH(A7,'Final ratings'!$A$2:$A$51,0))</f>
        <v>UI only</v>
      </c>
      <c r="G7" s="19" t="str">
        <f aca="false">IF(F7&lt;&gt;E7,"Yes","")</f>
        <v>Yes</v>
      </c>
      <c r="H7" s="18" t="s">
        <v>60</v>
      </c>
    </row>
    <row r="8" customFormat="false" ht="15" hidden="false" customHeight="true" outlineLevel="0" collapsed="false">
      <c r="A8" s="17" t="s">
        <v>61</v>
      </c>
      <c r="B8" s="18" t="s">
        <v>62</v>
      </c>
      <c r="C8" s="19" t="s">
        <v>6</v>
      </c>
      <c r="D8" s="19" t="s">
        <v>7</v>
      </c>
      <c r="E8" s="19" t="s">
        <v>7</v>
      </c>
      <c r="F8" s="20" t="str">
        <f aca="false">INDEX('Final ratings'!$E$2:$E$51,MATCH(A8,'Final ratings'!$A$2:$A$51,0))</f>
        <v>Partly</v>
      </c>
      <c r="G8" s="19" t="str">
        <f aca="false">IF(F8&lt;&gt;E8,"Yes","")</f>
        <v/>
      </c>
      <c r="H8" s="18"/>
    </row>
    <row r="9" customFormat="false" ht="23.25" hidden="false" customHeight="true" outlineLevel="0" collapsed="false">
      <c r="A9" s="17" t="s">
        <v>66</v>
      </c>
      <c r="B9" s="18" t="s">
        <v>67</v>
      </c>
      <c r="C9" s="19" t="s">
        <v>6</v>
      </c>
      <c r="D9" s="19" t="s">
        <v>7</v>
      </c>
      <c r="E9" s="19" t="s">
        <v>7</v>
      </c>
      <c r="F9" s="20" t="str">
        <f aca="false">INDEX('Final ratings'!$E$2:$E$51,MATCH(A9,'Final ratings'!$A$2:$A$51,0))</f>
        <v>Covered</v>
      </c>
      <c r="G9" s="19" t="str">
        <f aca="false">IF(F9&lt;&gt;E9,"Yes","")</f>
        <v>Yes</v>
      </c>
      <c r="H9" s="18" t="s">
        <v>70</v>
      </c>
    </row>
    <row r="10" customFormat="false" ht="23.25" hidden="false" customHeight="true" outlineLevel="0" collapsed="false">
      <c r="A10" s="17" t="s">
        <v>71</v>
      </c>
      <c r="B10" s="18" t="s">
        <v>72</v>
      </c>
      <c r="C10" s="19" t="s">
        <v>7</v>
      </c>
      <c r="D10" s="19" t="s">
        <v>7</v>
      </c>
      <c r="E10" s="19" t="s">
        <v>9</v>
      </c>
      <c r="F10" s="20" t="str">
        <f aca="false">INDEX('Final ratings'!$E$2:$E$51,MATCH(A10,'Final ratings'!$A$2:$A$51,0))</f>
        <v>Partly</v>
      </c>
      <c r="G10" s="19" t="str">
        <f aca="false">IF(F10&lt;&gt;E10,"Yes","")</f>
        <v>Yes</v>
      </c>
      <c r="H10" s="18" t="s">
        <v>75</v>
      </c>
    </row>
    <row r="11" customFormat="false" ht="15" hidden="false" customHeight="true" outlineLevel="0" collapsed="false">
      <c r="A11" s="17" t="s">
        <v>76</v>
      </c>
      <c r="B11" s="18" t="s">
        <v>77</v>
      </c>
      <c r="C11" s="19" t="s">
        <v>6</v>
      </c>
      <c r="D11" s="19" t="s">
        <v>6</v>
      </c>
      <c r="E11" s="19" t="s">
        <v>6</v>
      </c>
      <c r="F11" s="20" t="str">
        <f aca="false">INDEX('Final ratings'!$E$2:$E$51,MATCH(A11,'Final ratings'!$A$2:$A$51,0))</f>
        <v>Covered</v>
      </c>
      <c r="G11" s="19" t="str">
        <f aca="false">IF(F11&lt;&gt;E11,"Yes","")</f>
        <v/>
      </c>
      <c r="H11" s="18"/>
    </row>
    <row r="12" customFormat="false" ht="15" hidden="false" customHeight="true" outlineLevel="0" collapsed="false">
      <c r="A12" s="17" t="s">
        <v>81</v>
      </c>
      <c r="B12" s="18" t="s">
        <v>82</v>
      </c>
      <c r="C12" s="19" t="s">
        <v>6</v>
      </c>
      <c r="D12" s="19" t="s">
        <v>6</v>
      </c>
      <c r="E12" s="19" t="s">
        <v>6</v>
      </c>
      <c r="F12" s="20" t="str">
        <f aca="false">INDEX('Final ratings'!$E$2:$E$51,MATCH(A12,'Final ratings'!$A$2:$A$51,0))</f>
        <v>Covered</v>
      </c>
      <c r="G12" s="19" t="str">
        <f aca="false">IF(F12&lt;&gt;E12,"Yes","")</f>
        <v/>
      </c>
      <c r="H12" s="18"/>
    </row>
    <row r="13" customFormat="false" ht="23.25" hidden="false" customHeight="true" outlineLevel="0" collapsed="false">
      <c r="A13" s="17" t="s">
        <v>86</v>
      </c>
      <c r="B13" s="18" t="s">
        <v>87</v>
      </c>
      <c r="C13" s="19" t="s">
        <v>6</v>
      </c>
      <c r="D13" s="19" t="s">
        <v>7</v>
      </c>
      <c r="E13" s="19" t="s">
        <v>7</v>
      </c>
      <c r="F13" s="20" t="str">
        <f aca="false">INDEX('Final ratings'!$E$2:$E$51,MATCH(A13,'Final ratings'!$A$2:$A$51,0))</f>
        <v>Covered</v>
      </c>
      <c r="G13" s="19" t="str">
        <f aca="false">IF(F13&lt;&gt;E13,"Yes","")</f>
        <v>Yes</v>
      </c>
      <c r="H13" s="18" t="s">
        <v>90</v>
      </c>
    </row>
    <row r="14" customFormat="false" ht="15" hidden="false" customHeight="true" outlineLevel="0" collapsed="false">
      <c r="A14" s="17" t="s">
        <v>91</v>
      </c>
      <c r="B14" s="18" t="s">
        <v>92</v>
      </c>
      <c r="C14" s="19" t="s">
        <v>9</v>
      </c>
      <c r="D14" s="19" t="s">
        <v>9</v>
      </c>
      <c r="E14" s="19" t="s">
        <v>9</v>
      </c>
      <c r="F14" s="20" t="str">
        <f aca="false">INDEX('Final ratings'!$E$2:$E$51,MATCH(A14,'Final ratings'!$A$2:$A$51,0))</f>
        <v>Not covered</v>
      </c>
      <c r="G14" s="19" t="str">
        <f aca="false">IF(F14&lt;&gt;E14,"Yes","")</f>
        <v/>
      </c>
      <c r="H14" s="18"/>
    </row>
    <row r="15" customFormat="false" ht="15" hidden="false" customHeight="true" outlineLevel="0" collapsed="false">
      <c r="A15" s="17" t="s">
        <v>96</v>
      </c>
      <c r="B15" s="18" t="s">
        <v>97</v>
      </c>
      <c r="C15" s="19" t="s">
        <v>7</v>
      </c>
      <c r="D15" s="19" t="s">
        <v>7</v>
      </c>
      <c r="E15" s="19" t="s">
        <v>7</v>
      </c>
      <c r="F15" s="20" t="str">
        <f aca="false">INDEX('Final ratings'!$E$2:$E$51,MATCH(A15,'Final ratings'!$A$2:$A$51,0))</f>
        <v>Partly</v>
      </c>
      <c r="G15" s="19" t="str">
        <f aca="false">IF(F15&lt;&gt;E15,"Yes","")</f>
        <v/>
      </c>
      <c r="H15" s="18"/>
    </row>
    <row r="16" customFormat="false" ht="15" hidden="false" customHeight="true" outlineLevel="0" collapsed="false">
      <c r="A16" s="17" t="s">
        <v>101</v>
      </c>
      <c r="B16" s="18" t="s">
        <v>102</v>
      </c>
      <c r="C16" s="19" t="s">
        <v>6</v>
      </c>
      <c r="D16" s="19" t="s">
        <v>7</v>
      </c>
      <c r="E16" s="19" t="s">
        <v>7</v>
      </c>
      <c r="F16" s="20" t="str">
        <f aca="false">INDEX('Final ratings'!$E$2:$E$51,MATCH(A16,'Final ratings'!$A$2:$A$51,0))</f>
        <v>Partly</v>
      </c>
      <c r="G16" s="19" t="str">
        <f aca="false">IF(F16&lt;&gt;E16,"Yes","")</f>
        <v/>
      </c>
      <c r="H16" s="18"/>
    </row>
    <row r="17" customFormat="false" ht="15" hidden="false" customHeight="true" outlineLevel="0" collapsed="false">
      <c r="A17" s="17" t="s">
        <v>106</v>
      </c>
      <c r="B17" s="18" t="s">
        <v>107</v>
      </c>
      <c r="C17" s="19" t="s">
        <v>6</v>
      </c>
      <c r="D17" s="19" t="s">
        <v>7</v>
      </c>
      <c r="E17" s="19" t="s">
        <v>7</v>
      </c>
      <c r="F17" s="20" t="str">
        <f aca="false">INDEX('Final ratings'!$E$2:$E$51,MATCH(A17,'Final ratings'!$A$2:$A$51,0))</f>
        <v>Partly</v>
      </c>
      <c r="G17" s="19" t="str">
        <f aca="false">IF(F17&lt;&gt;E17,"Yes","")</f>
        <v/>
      </c>
      <c r="H17" s="18"/>
    </row>
    <row r="18" customFormat="false" ht="15" hidden="false" customHeight="true" outlineLevel="0" collapsed="false">
      <c r="A18" s="17" t="s">
        <v>111</v>
      </c>
      <c r="B18" s="18" t="s">
        <v>112</v>
      </c>
      <c r="C18" s="19" t="s">
        <v>6</v>
      </c>
      <c r="D18" s="19" t="s">
        <v>7</v>
      </c>
      <c r="E18" s="19" t="s">
        <v>7</v>
      </c>
      <c r="F18" s="20" t="str">
        <f aca="false">INDEX('Final ratings'!$E$2:$E$51,MATCH(A18,'Final ratings'!$A$2:$A$51,0))</f>
        <v>Covered</v>
      </c>
      <c r="G18" s="19" t="str">
        <f aca="false">IF(F18&lt;&gt;E18,"Yes","")</f>
        <v>Yes</v>
      </c>
      <c r="H18" s="18" t="s">
        <v>271</v>
      </c>
    </row>
    <row r="19" customFormat="false" ht="23.25" hidden="false" customHeight="true" outlineLevel="0" collapsed="false">
      <c r="A19" s="17" t="s">
        <v>116</v>
      </c>
      <c r="B19" s="18" t="s">
        <v>117</v>
      </c>
      <c r="C19" s="19" t="s">
        <v>8</v>
      </c>
      <c r="D19" s="19" t="s">
        <v>9</v>
      </c>
      <c r="E19" s="19" t="s">
        <v>9</v>
      </c>
      <c r="F19" s="20" t="str">
        <f aca="false">INDEX('Final ratings'!$E$2:$E$51,MATCH(A19,'Final ratings'!$A$2:$A$51,0))</f>
        <v>UI only</v>
      </c>
      <c r="G19" s="19" t="str">
        <f aca="false">IF(F19&lt;&gt;E19,"Yes","")</f>
        <v>Yes</v>
      </c>
      <c r="H19" s="18" t="s">
        <v>60</v>
      </c>
    </row>
    <row r="20" customFormat="false" ht="15" hidden="false" customHeight="true" outlineLevel="0" collapsed="false">
      <c r="A20" s="17" t="s">
        <v>120</v>
      </c>
      <c r="B20" s="18" t="s">
        <v>121</v>
      </c>
      <c r="C20" s="19" t="s">
        <v>7</v>
      </c>
      <c r="D20" s="19" t="s">
        <v>9</v>
      </c>
      <c r="E20" s="19" t="s">
        <v>9</v>
      </c>
      <c r="F20" s="20" t="str">
        <f aca="false">INDEX('Final ratings'!$E$2:$E$51,MATCH(A20,'Final ratings'!$A$2:$A$51,0))</f>
        <v>Not covered</v>
      </c>
      <c r="G20" s="19" t="str">
        <f aca="false">IF(F20&lt;&gt;E20,"Yes","")</f>
        <v/>
      </c>
      <c r="H20" s="18"/>
    </row>
    <row r="21" customFormat="false" ht="15" hidden="false" customHeight="true" outlineLevel="0" collapsed="false">
      <c r="A21" s="17" t="s">
        <v>125</v>
      </c>
      <c r="B21" s="18" t="s">
        <v>126</v>
      </c>
      <c r="C21" s="19" t="s">
        <v>6</v>
      </c>
      <c r="D21" s="19" t="s">
        <v>7</v>
      </c>
      <c r="E21" s="19" t="s">
        <v>6</v>
      </c>
      <c r="F21" s="20" t="str">
        <f aca="false">INDEX('Final ratings'!$E$2:$E$51,MATCH(A21,'Final ratings'!$A$2:$A$51,0))</f>
        <v>Covered</v>
      </c>
      <c r="G21" s="19" t="str">
        <f aca="false">IF(F21&lt;&gt;E21,"Yes","")</f>
        <v/>
      </c>
      <c r="H21" s="18"/>
    </row>
    <row r="22" customFormat="false" ht="15" hidden="false" customHeight="true" outlineLevel="0" collapsed="false">
      <c r="A22" s="17" t="s">
        <v>130</v>
      </c>
      <c r="B22" s="18" t="s">
        <v>131</v>
      </c>
      <c r="C22" s="19" t="s">
        <v>7</v>
      </c>
      <c r="D22" s="19" t="s">
        <v>7</v>
      </c>
      <c r="E22" s="19" t="s">
        <v>7</v>
      </c>
      <c r="F22" s="20" t="str">
        <f aca="false">INDEX('Final ratings'!$E$2:$E$51,MATCH(A22,'Final ratings'!$A$2:$A$51,0))</f>
        <v>Partly</v>
      </c>
      <c r="G22" s="19" t="str">
        <f aca="false">IF(F22&lt;&gt;E22,"Yes","")</f>
        <v/>
      </c>
      <c r="H22" s="18"/>
    </row>
    <row r="23" customFormat="false" ht="15" hidden="false" customHeight="true" outlineLevel="0" collapsed="false">
      <c r="A23" s="17" t="s">
        <v>135</v>
      </c>
      <c r="B23" s="18" t="s">
        <v>136</v>
      </c>
      <c r="C23" s="19" t="s">
        <v>8</v>
      </c>
      <c r="D23" s="19" t="s">
        <v>7</v>
      </c>
      <c r="E23" s="19" t="s">
        <v>7</v>
      </c>
      <c r="F23" s="20" t="str">
        <f aca="false">INDEX('Final ratings'!$E$2:$E$51,MATCH(A23,'Final ratings'!$A$2:$A$51,0))</f>
        <v>Partly</v>
      </c>
      <c r="G23" s="19" t="str">
        <f aca="false">IF(F23&lt;&gt;E23,"Yes","")</f>
        <v/>
      </c>
      <c r="H23" s="18"/>
    </row>
    <row r="24" customFormat="false" ht="15" hidden="false" customHeight="true" outlineLevel="0" collapsed="false">
      <c r="A24" s="17" t="s">
        <v>139</v>
      </c>
      <c r="B24" s="18" t="s">
        <v>140</v>
      </c>
      <c r="C24" s="19" t="s">
        <v>9</v>
      </c>
      <c r="D24" s="19" t="s">
        <v>9</v>
      </c>
      <c r="E24" s="19" t="s">
        <v>9</v>
      </c>
      <c r="F24" s="20" t="str">
        <f aca="false">INDEX('Final ratings'!$E$2:$E$51,MATCH(A24,'Final ratings'!$A$2:$A$51,0))</f>
        <v>Not covered</v>
      </c>
      <c r="G24" s="19" t="str">
        <f aca="false">IF(F24&lt;&gt;E24,"Yes","")</f>
        <v/>
      </c>
      <c r="H24" s="18"/>
    </row>
    <row r="25" customFormat="false" ht="15" hidden="false" customHeight="true" outlineLevel="0" collapsed="false">
      <c r="A25" s="17" t="s">
        <v>144</v>
      </c>
      <c r="B25" s="18" t="s">
        <v>145</v>
      </c>
      <c r="C25" s="19" t="s">
        <v>7</v>
      </c>
      <c r="D25" s="19" t="s">
        <v>7</v>
      </c>
      <c r="E25" s="19" t="s">
        <v>7</v>
      </c>
      <c r="F25" s="20" t="str">
        <f aca="false">INDEX('Final ratings'!$E$2:$E$51,MATCH(A25,'Final ratings'!$A$2:$A$51,0))</f>
        <v>Partly</v>
      </c>
      <c r="G25" s="19" t="str">
        <f aca="false">IF(F25&lt;&gt;E25,"Yes","")</f>
        <v/>
      </c>
      <c r="H25" s="18"/>
    </row>
    <row r="26" customFormat="false" ht="15" hidden="false" customHeight="true" outlineLevel="0" collapsed="false">
      <c r="A26" s="17" t="s">
        <v>149</v>
      </c>
      <c r="B26" s="18" t="s">
        <v>150</v>
      </c>
      <c r="C26" s="19" t="s">
        <v>6</v>
      </c>
      <c r="D26" s="19" t="s">
        <v>7</v>
      </c>
      <c r="E26" s="19" t="s">
        <v>6</v>
      </c>
      <c r="F26" s="20" t="str">
        <f aca="false">INDEX('Final ratings'!$E$2:$E$51,MATCH(A26,'Final ratings'!$A$2:$A$51,0))</f>
        <v>Covered</v>
      </c>
      <c r="G26" s="19" t="str">
        <f aca="false">IF(F26&lt;&gt;E26,"Yes","")</f>
        <v/>
      </c>
      <c r="H26" s="18"/>
    </row>
    <row r="27" customFormat="false" ht="15" hidden="false" customHeight="true" outlineLevel="0" collapsed="false">
      <c r="A27" s="17" t="s">
        <v>154</v>
      </c>
      <c r="B27" s="18" t="s">
        <v>155</v>
      </c>
      <c r="C27" s="19" t="s">
        <v>7</v>
      </c>
      <c r="D27" s="19" t="s">
        <v>7</v>
      </c>
      <c r="E27" s="19" t="s">
        <v>7</v>
      </c>
      <c r="F27" s="20" t="str">
        <f aca="false">INDEX('Final ratings'!$E$2:$E$51,MATCH(A27,'Final ratings'!$A$2:$A$51,0))</f>
        <v>Partly</v>
      </c>
      <c r="G27" s="19" t="str">
        <f aca="false">IF(F27&lt;&gt;E27,"Yes","")</f>
        <v/>
      </c>
      <c r="H27" s="18"/>
    </row>
    <row r="28" customFormat="false" ht="15" hidden="false" customHeight="true" outlineLevel="0" collapsed="false">
      <c r="A28" s="17" t="s">
        <v>159</v>
      </c>
      <c r="B28" s="18" t="s">
        <v>160</v>
      </c>
      <c r="C28" s="19" t="s">
        <v>6</v>
      </c>
      <c r="D28" s="19" t="s">
        <v>7</v>
      </c>
      <c r="E28" s="19" t="s">
        <v>7</v>
      </c>
      <c r="F28" s="20" t="str">
        <f aca="false">INDEX('Final ratings'!$E$2:$E$51,MATCH(A28,'Final ratings'!$A$2:$A$51,0))</f>
        <v>Partly</v>
      </c>
      <c r="G28" s="19" t="str">
        <f aca="false">IF(F28&lt;&gt;E28,"Yes","")</f>
        <v/>
      </c>
      <c r="H28" s="18"/>
    </row>
    <row r="29" customFormat="false" ht="15" hidden="false" customHeight="true" outlineLevel="0" collapsed="false">
      <c r="A29" s="17" t="s">
        <v>164</v>
      </c>
      <c r="B29" s="18" t="s">
        <v>165</v>
      </c>
      <c r="C29" s="19" t="s">
        <v>6</v>
      </c>
      <c r="D29" s="19" t="s">
        <v>7</v>
      </c>
      <c r="E29" s="19" t="s">
        <v>7</v>
      </c>
      <c r="F29" s="20" t="str">
        <f aca="false">INDEX('Final ratings'!$E$2:$E$51,MATCH(A29,'Final ratings'!$A$2:$A$51,0))</f>
        <v>Partly</v>
      </c>
      <c r="G29" s="19" t="str">
        <f aca="false">IF(F29&lt;&gt;E29,"Yes","")</f>
        <v/>
      </c>
      <c r="H29" s="18"/>
    </row>
    <row r="30" customFormat="false" ht="23.25" hidden="false" customHeight="true" outlineLevel="0" collapsed="false">
      <c r="A30" s="17" t="s">
        <v>169</v>
      </c>
      <c r="B30" s="18" t="s">
        <v>170</v>
      </c>
      <c r="C30" s="19" t="s">
        <v>8</v>
      </c>
      <c r="D30" s="19" t="s">
        <v>9</v>
      </c>
      <c r="E30" s="19" t="s">
        <v>9</v>
      </c>
      <c r="F30" s="20" t="str">
        <f aca="false">INDEX('Final ratings'!$E$2:$E$51,MATCH(A30,'Final ratings'!$A$2:$A$51,0))</f>
        <v>UI only</v>
      </c>
      <c r="G30" s="19" t="str">
        <f aca="false">IF(F30&lt;&gt;E30,"Yes","")</f>
        <v>Yes</v>
      </c>
      <c r="H30" s="18" t="s">
        <v>60</v>
      </c>
    </row>
    <row r="31" customFormat="false" ht="15" hidden="false" customHeight="true" outlineLevel="0" collapsed="false">
      <c r="A31" s="17" t="s">
        <v>173</v>
      </c>
      <c r="B31" s="18" t="s">
        <v>174</v>
      </c>
      <c r="C31" s="19" t="s">
        <v>6</v>
      </c>
      <c r="D31" s="19" t="s">
        <v>7</v>
      </c>
      <c r="E31" s="19" t="s">
        <v>7</v>
      </c>
      <c r="F31" s="20" t="str">
        <f aca="false">INDEX('Final ratings'!$E$2:$E$51,MATCH(A31,'Final ratings'!$A$2:$A$51,0))</f>
        <v>Partly</v>
      </c>
      <c r="G31" s="19" t="str">
        <f aca="false">IF(F31&lt;&gt;E31,"Yes","")</f>
        <v/>
      </c>
      <c r="H31" s="18"/>
    </row>
    <row r="32" customFormat="false" ht="15" hidden="false" customHeight="true" outlineLevel="0" collapsed="false">
      <c r="A32" s="17" t="s">
        <v>178</v>
      </c>
      <c r="B32" s="18" t="s">
        <v>179</v>
      </c>
      <c r="C32" s="19" t="s">
        <v>9</v>
      </c>
      <c r="D32" s="19" t="s">
        <v>9</v>
      </c>
      <c r="E32" s="19" t="s">
        <v>9</v>
      </c>
      <c r="F32" s="20" t="str">
        <f aca="false">INDEX('Final ratings'!$E$2:$E$51,MATCH(A32,'Final ratings'!$A$2:$A$51,0))</f>
        <v>Not covered</v>
      </c>
      <c r="G32" s="19" t="str">
        <f aca="false">IF(F32&lt;&gt;E32,"Yes","")</f>
        <v/>
      </c>
      <c r="H32" s="18"/>
    </row>
    <row r="33" customFormat="false" ht="15" hidden="false" customHeight="true" outlineLevel="0" collapsed="false">
      <c r="A33" s="17" t="s">
        <v>183</v>
      </c>
      <c r="B33" s="18" t="s">
        <v>184</v>
      </c>
      <c r="C33" s="19" t="s">
        <v>7</v>
      </c>
      <c r="D33" s="19" t="s">
        <v>9</v>
      </c>
      <c r="E33" s="19" t="s">
        <v>9</v>
      </c>
      <c r="F33" s="20" t="str">
        <f aca="false">INDEX('Final ratings'!$E$2:$E$51,MATCH(A33,'Final ratings'!$A$2:$A$51,0))</f>
        <v>Not covered</v>
      </c>
      <c r="G33" s="19" t="str">
        <f aca="false">IF(F33&lt;&gt;E33,"Yes","")</f>
        <v/>
      </c>
      <c r="H33" s="18"/>
    </row>
    <row r="34" customFormat="false" ht="23.25" hidden="false" customHeight="true" outlineLevel="0" collapsed="false">
      <c r="A34" s="17" t="s">
        <v>188</v>
      </c>
      <c r="B34" s="18" t="s">
        <v>189</v>
      </c>
      <c r="C34" s="19" t="s">
        <v>6</v>
      </c>
      <c r="D34" s="19" t="s">
        <v>7</v>
      </c>
      <c r="E34" s="19" t="s">
        <v>7</v>
      </c>
      <c r="F34" s="20" t="str">
        <f aca="false">INDEX('Final ratings'!$E$2:$E$51,MATCH(A34,'Final ratings'!$A$2:$A$51,0))</f>
        <v>Covered</v>
      </c>
      <c r="G34" s="19" t="str">
        <f aca="false">IF(F34&lt;&gt;E34,"Yes","")</f>
        <v>Yes</v>
      </c>
      <c r="H34" s="18" t="s">
        <v>192</v>
      </c>
    </row>
    <row r="35" customFormat="false" ht="23.25" hidden="false" customHeight="true" outlineLevel="0" collapsed="false">
      <c r="A35" s="17" t="s">
        <v>193</v>
      </c>
      <c r="B35" s="18" t="s">
        <v>194</v>
      </c>
      <c r="C35" s="19" t="s">
        <v>6</v>
      </c>
      <c r="D35" s="19" t="s">
        <v>9</v>
      </c>
      <c r="E35" s="19" t="s">
        <v>9</v>
      </c>
      <c r="F35" s="20" t="str">
        <f aca="false">INDEX('Final ratings'!$E$2:$E$51,MATCH(A35,'Final ratings'!$A$2:$A$51,0))</f>
        <v>UI only</v>
      </c>
      <c r="G35" s="19" t="str">
        <f aca="false">IF(F35&lt;&gt;E35,"Yes","")</f>
        <v>Yes</v>
      </c>
      <c r="H35" s="18" t="s">
        <v>60</v>
      </c>
    </row>
    <row r="36" customFormat="false" ht="15" hidden="false" customHeight="true" outlineLevel="0" collapsed="false">
      <c r="A36" s="17" t="s">
        <v>197</v>
      </c>
      <c r="B36" s="18" t="s">
        <v>198</v>
      </c>
      <c r="C36" s="19" t="s">
        <v>7</v>
      </c>
      <c r="D36" s="19" t="s">
        <v>9</v>
      </c>
      <c r="E36" s="19" t="s">
        <v>9</v>
      </c>
      <c r="F36" s="20" t="str">
        <f aca="false">INDEX('Final ratings'!$E$2:$E$51,MATCH(A36,'Final ratings'!$A$2:$A$51,0))</f>
        <v>Not covered</v>
      </c>
      <c r="G36" s="19" t="str">
        <f aca="false">IF(F36&lt;&gt;E36,"Yes","")</f>
        <v/>
      </c>
      <c r="H36" s="18"/>
    </row>
    <row r="37" customFormat="false" ht="15" hidden="false" customHeight="true" outlineLevel="0" collapsed="false">
      <c r="A37" s="17" t="s">
        <v>202</v>
      </c>
      <c r="B37" s="18" t="s">
        <v>203</v>
      </c>
      <c r="C37" s="19" t="s">
        <v>7</v>
      </c>
      <c r="D37" s="19" t="s">
        <v>7</v>
      </c>
      <c r="E37" s="19" t="s">
        <v>7</v>
      </c>
      <c r="F37" s="20" t="str">
        <f aca="false">INDEX('Final ratings'!$E$2:$E$51,MATCH(A37,'Final ratings'!$A$2:$A$51,0))</f>
        <v>Partly</v>
      </c>
      <c r="G37" s="19" t="str">
        <f aca="false">IF(F37&lt;&gt;E37,"Yes","")</f>
        <v/>
      </c>
      <c r="H37" s="18"/>
    </row>
    <row r="38" customFormat="false" ht="15" hidden="false" customHeight="true" outlineLevel="0" collapsed="false">
      <c r="A38" s="17" t="s">
        <v>207</v>
      </c>
      <c r="B38" s="18" t="s">
        <v>208</v>
      </c>
      <c r="C38" s="19" t="s">
        <v>9</v>
      </c>
      <c r="D38" s="19" t="s">
        <v>9</v>
      </c>
      <c r="E38" s="19" t="s">
        <v>9</v>
      </c>
      <c r="F38" s="20" t="str">
        <f aca="false">INDEX('Final ratings'!$E$2:$E$51,MATCH(A38,'Final ratings'!$A$2:$A$51,0))</f>
        <v>Not covered</v>
      </c>
      <c r="G38" s="19" t="str">
        <f aca="false">IF(F38&lt;&gt;E38,"Yes","")</f>
        <v/>
      </c>
      <c r="H38" s="18"/>
    </row>
    <row r="39" customFormat="false" ht="15" hidden="false" customHeight="true" outlineLevel="0" collapsed="false">
      <c r="A39" s="17" t="s">
        <v>211</v>
      </c>
      <c r="B39" s="18" t="s">
        <v>212</v>
      </c>
      <c r="C39" s="19" t="s">
        <v>6</v>
      </c>
      <c r="D39" s="19" t="s">
        <v>7</v>
      </c>
      <c r="E39" s="19" t="s">
        <v>7</v>
      </c>
      <c r="F39" s="20" t="str">
        <f aca="false">INDEX('Final ratings'!$E$2:$E$51,MATCH(A39,'Final ratings'!$A$2:$A$51,0))</f>
        <v>Covered</v>
      </c>
      <c r="G39" s="19" t="str">
        <f aca="false">IF(F39&lt;&gt;E39,"Yes","")</f>
        <v>Yes</v>
      </c>
      <c r="H39" s="18" t="s">
        <v>215</v>
      </c>
    </row>
    <row r="40" customFormat="false" ht="23.25" hidden="false" customHeight="true" outlineLevel="0" collapsed="false">
      <c r="A40" s="17" t="s">
        <v>216</v>
      </c>
      <c r="B40" s="18" t="s">
        <v>217</v>
      </c>
      <c r="C40" s="19" t="s">
        <v>8</v>
      </c>
      <c r="D40" s="19" t="s">
        <v>9</v>
      </c>
      <c r="E40" s="19" t="s">
        <v>9</v>
      </c>
      <c r="F40" s="20" t="str">
        <f aca="false">INDEX('Final ratings'!$E$2:$E$51,MATCH(A40,'Final ratings'!$A$2:$A$51,0))</f>
        <v>UI only</v>
      </c>
      <c r="G40" s="19" t="str">
        <f aca="false">IF(F40&lt;&gt;E40,"Yes","")</f>
        <v>Yes</v>
      </c>
      <c r="H40" s="18" t="s">
        <v>60</v>
      </c>
    </row>
    <row r="41" customFormat="false" ht="15" hidden="false" customHeight="true" outlineLevel="0" collapsed="false">
      <c r="A41" s="17" t="s">
        <v>219</v>
      </c>
      <c r="B41" s="18" t="s">
        <v>220</v>
      </c>
      <c r="C41" s="19" t="s">
        <v>7</v>
      </c>
      <c r="D41" s="19" t="s">
        <v>9</v>
      </c>
      <c r="E41" s="19" t="s">
        <v>9</v>
      </c>
      <c r="F41" s="20" t="str">
        <f aca="false">INDEX('Final ratings'!$E$2:$E$51,MATCH(A41,'Final ratings'!$A$2:$A$51,0))</f>
        <v>Covered</v>
      </c>
      <c r="G41" s="19" t="str">
        <f aca="false">IF(F41&lt;&gt;E41,"Yes","")</f>
        <v>Yes</v>
      </c>
      <c r="H41" s="18" t="s">
        <v>272</v>
      </c>
    </row>
    <row r="42" customFormat="false" ht="23.25" hidden="false" customHeight="true" outlineLevel="0" collapsed="false">
      <c r="A42" s="17" t="s">
        <v>223</v>
      </c>
      <c r="B42" s="18" t="s">
        <v>224</v>
      </c>
      <c r="C42" s="19" t="s">
        <v>8</v>
      </c>
      <c r="D42" s="19" t="s">
        <v>9</v>
      </c>
      <c r="E42" s="19" t="s">
        <v>9</v>
      </c>
      <c r="F42" s="20" t="str">
        <f aca="false">INDEX('Final ratings'!$E$2:$E$51,MATCH(A42,'Final ratings'!$A$2:$A$51,0))</f>
        <v>UI only</v>
      </c>
      <c r="G42" s="19" t="str">
        <f aca="false">IF(F42&lt;&gt;E42,"Yes","")</f>
        <v>Yes</v>
      </c>
      <c r="H42" s="18" t="s">
        <v>60</v>
      </c>
    </row>
    <row r="43" customFormat="false" ht="23.25" hidden="false" customHeight="true" outlineLevel="0" collapsed="false">
      <c r="A43" s="17" t="s">
        <v>226</v>
      </c>
      <c r="B43" s="18" t="s">
        <v>227</v>
      </c>
      <c r="C43" s="19" t="s">
        <v>8</v>
      </c>
      <c r="D43" s="19" t="s">
        <v>9</v>
      </c>
      <c r="E43" s="19" t="s">
        <v>9</v>
      </c>
      <c r="F43" s="20" t="str">
        <f aca="false">INDEX('Final ratings'!$E$2:$E$51,MATCH(A43,'Final ratings'!$A$2:$A$51,0))</f>
        <v>UI only</v>
      </c>
      <c r="G43" s="19" t="str">
        <f aca="false">IF(F43&lt;&gt;E43,"Yes","")</f>
        <v>Yes</v>
      </c>
      <c r="H43" s="18" t="s">
        <v>60</v>
      </c>
    </row>
    <row r="44" customFormat="false" ht="23.25" hidden="false" customHeight="true" outlineLevel="0" collapsed="false">
      <c r="A44" s="17" t="s">
        <v>228</v>
      </c>
      <c r="B44" s="18" t="s">
        <v>229</v>
      </c>
      <c r="C44" s="19" t="s">
        <v>7</v>
      </c>
      <c r="D44" s="19" t="s">
        <v>9</v>
      </c>
      <c r="E44" s="19" t="s">
        <v>9</v>
      </c>
      <c r="F44" s="20" t="str">
        <f aca="false">INDEX('Final ratings'!$E$2:$E$51,MATCH(A44,'Final ratings'!$A$2:$A$51,0))</f>
        <v>Not covered</v>
      </c>
      <c r="G44" s="19" t="str">
        <f aca="false">IF(F44&lt;&gt;E44,"Yes","")</f>
        <v/>
      </c>
      <c r="H44" s="18"/>
    </row>
    <row r="45" customFormat="false" ht="15" hidden="false" customHeight="true" outlineLevel="0" collapsed="false">
      <c r="A45" s="17" t="s">
        <v>233</v>
      </c>
      <c r="B45" s="18" t="s">
        <v>234</v>
      </c>
      <c r="C45" s="19" t="s">
        <v>7</v>
      </c>
      <c r="D45" s="19" t="s">
        <v>7</v>
      </c>
      <c r="E45" s="19" t="s">
        <v>7</v>
      </c>
      <c r="F45" s="20" t="str">
        <f aca="false">INDEX('Final ratings'!$E$2:$E$51,MATCH(A45,'Final ratings'!$A$2:$A$51,0))</f>
        <v>Partly</v>
      </c>
      <c r="G45" s="19" t="str">
        <f aca="false">IF(F45&lt;&gt;E45,"Yes","")</f>
        <v/>
      </c>
      <c r="H45" s="18"/>
    </row>
    <row r="46" customFormat="false" ht="15" hidden="false" customHeight="true" outlineLevel="0" collapsed="false">
      <c r="A46" s="17" t="s">
        <v>238</v>
      </c>
      <c r="B46" s="18" t="s">
        <v>239</v>
      </c>
      <c r="C46" s="19" t="s">
        <v>6</v>
      </c>
      <c r="D46" s="19" t="s">
        <v>7</v>
      </c>
      <c r="E46" s="19" t="s">
        <v>7</v>
      </c>
      <c r="F46" s="20" t="str">
        <f aca="false">INDEX('Final ratings'!$E$2:$E$51,MATCH(A46,'Final ratings'!$A$2:$A$51,0))</f>
        <v>Partly</v>
      </c>
      <c r="G46" s="19" t="str">
        <f aca="false">IF(F46&lt;&gt;E46,"Yes","")</f>
        <v/>
      </c>
      <c r="H46" s="18"/>
    </row>
    <row r="47" customFormat="false" ht="15" hidden="false" customHeight="true" outlineLevel="0" collapsed="false">
      <c r="A47" s="17" t="s">
        <v>243</v>
      </c>
      <c r="B47" s="18" t="s">
        <v>244</v>
      </c>
      <c r="C47" s="19" t="s">
        <v>6</v>
      </c>
      <c r="D47" s="19" t="s">
        <v>6</v>
      </c>
      <c r="E47" s="19" t="s">
        <v>6</v>
      </c>
      <c r="F47" s="20" t="str">
        <f aca="false">INDEX('Final ratings'!$E$2:$E$51,MATCH(A47,'Final ratings'!$A$2:$A$51,0))</f>
        <v>Covered</v>
      </c>
      <c r="G47" s="19" t="str">
        <f aca="false">IF(F47&lt;&gt;E47,"Yes","")</f>
        <v/>
      </c>
      <c r="H47" s="18"/>
    </row>
    <row r="48" customFormat="false" ht="15" hidden="false" customHeight="true" outlineLevel="0" collapsed="false">
      <c r="A48" s="17" t="s">
        <v>248</v>
      </c>
      <c r="B48" s="18" t="s">
        <v>249</v>
      </c>
      <c r="C48" s="19" t="s">
        <v>6</v>
      </c>
      <c r="D48" s="19" t="s">
        <v>9</v>
      </c>
      <c r="E48" s="19" t="s">
        <v>9</v>
      </c>
      <c r="F48" s="20" t="str">
        <f aca="false">INDEX('Final ratings'!$E$2:$E$51,MATCH(A48,'Final ratings'!$A$2:$A$51,0))</f>
        <v>Partly</v>
      </c>
      <c r="G48" s="19" t="str">
        <f aca="false">IF(F48&lt;&gt;E48,"Yes","")</f>
        <v>Yes</v>
      </c>
      <c r="H48" s="18" t="s">
        <v>252</v>
      </c>
    </row>
    <row r="49" customFormat="false" ht="23.25" hidden="false" customHeight="true" outlineLevel="0" collapsed="false">
      <c r="A49" s="17" t="s">
        <v>253</v>
      </c>
      <c r="B49" s="18" t="s">
        <v>254</v>
      </c>
      <c r="C49" s="19" t="s">
        <v>9</v>
      </c>
      <c r="D49" s="19" t="s">
        <v>9</v>
      </c>
      <c r="E49" s="19" t="s">
        <v>9</v>
      </c>
      <c r="F49" s="20" t="str">
        <f aca="false">INDEX('Final ratings'!$E$2:$E$51,MATCH(A49,'Final ratings'!$A$2:$A$51,0))</f>
        <v>UI only</v>
      </c>
      <c r="G49" s="19" t="str">
        <f aca="false">IF(F49&lt;&gt;E49,"Yes","")</f>
        <v>Yes</v>
      </c>
      <c r="H49" s="18" t="s">
        <v>60</v>
      </c>
    </row>
    <row r="50" customFormat="false" ht="15" hidden="false" customHeight="true" outlineLevel="0" collapsed="false">
      <c r="A50" s="17" t="s">
        <v>256</v>
      </c>
      <c r="B50" s="18" t="s">
        <v>257</v>
      </c>
      <c r="C50" s="19" t="s">
        <v>6</v>
      </c>
      <c r="D50" s="19" t="s">
        <v>7</v>
      </c>
      <c r="E50" s="19" t="s">
        <v>6</v>
      </c>
      <c r="F50" s="20" t="str">
        <f aca="false">INDEX('Final ratings'!$E$2:$E$51,MATCH(A50,'Final ratings'!$A$2:$A$51,0))</f>
        <v>Covered</v>
      </c>
      <c r="G50" s="19" t="str">
        <f aca="false">IF(F50&lt;&gt;E50,"Yes","")</f>
        <v/>
      </c>
      <c r="H50" s="18"/>
    </row>
    <row r="51" customFormat="false" ht="23.25" hidden="false" customHeight="true" outlineLevel="0" collapsed="false">
      <c r="A51" s="17" t="s">
        <v>261</v>
      </c>
      <c r="B51" s="18" t="s">
        <v>262</v>
      </c>
      <c r="C51" s="19" t="s">
        <v>8</v>
      </c>
      <c r="D51" s="19" t="s">
        <v>9</v>
      </c>
      <c r="E51" s="19" t="s">
        <v>9</v>
      </c>
      <c r="F51" s="20" t="str">
        <f aca="false">INDEX('Final ratings'!$E$2:$E$51,MATCH(A51,'Final ratings'!$A$2:$A$51,0))</f>
        <v>UI only</v>
      </c>
      <c r="G51" s="19" t="str">
        <f aca="false">IF(F51&lt;&gt;E51,"Yes","")</f>
        <v>Yes</v>
      </c>
      <c r="H51" s="18" t="s">
        <v>60</v>
      </c>
    </row>
  </sheetData>
  <autoFilter ref="A1:H51"/>
  <conditionalFormatting sqref="C2:C51">
    <cfRule type="expression" priority="2" aboveAverage="0" equalAverage="0" bottom="0" percent="0" rank="0" text="" dxfId="7">
      <formula>$C2="Covered"</formula>
    </cfRule>
    <cfRule type="expression" priority="3" aboveAverage="0" equalAverage="0" bottom="0" percent="0" rank="0" text="" dxfId="8">
      <formula>$C2="Partly"</formula>
    </cfRule>
    <cfRule type="expression" priority="4" aboveAverage="0" equalAverage="0" bottom="0" percent="0" rank="0" text="" dxfId="9">
      <formula>$C2="UI only"</formula>
    </cfRule>
    <cfRule type="expression" priority="5" aboveAverage="0" equalAverage="0" bottom="0" percent="0" rank="0" text="" dxfId="10">
      <formula>$C2="Not covered"</formula>
    </cfRule>
  </conditionalFormatting>
  <conditionalFormatting sqref="D2:D51">
    <cfRule type="expression" priority="6" aboveAverage="0" equalAverage="0" bottom="0" percent="0" rank="0" text="" dxfId="7">
      <formula>$D2="Covered"</formula>
    </cfRule>
    <cfRule type="expression" priority="7" aboveAverage="0" equalAverage="0" bottom="0" percent="0" rank="0" text="" dxfId="8">
      <formula>$D2="Partly"</formula>
    </cfRule>
    <cfRule type="expression" priority="8" aboveAverage="0" equalAverage="0" bottom="0" percent="0" rank="0" text="" dxfId="9">
      <formula>$D2="UI only"</formula>
    </cfRule>
    <cfRule type="expression" priority="9" aboveAverage="0" equalAverage="0" bottom="0" percent="0" rank="0" text="" dxfId="10">
      <formula>$D2="Not covered"</formula>
    </cfRule>
  </conditionalFormatting>
  <conditionalFormatting sqref="E2:E51">
    <cfRule type="expression" priority="10" aboveAverage="0" equalAverage="0" bottom="0" percent="0" rank="0" text="" dxfId="7">
      <formula>$E2="Covered"</formula>
    </cfRule>
    <cfRule type="expression" priority="11" aboveAverage="0" equalAverage="0" bottom="0" percent="0" rank="0" text="" dxfId="8">
      <formula>$E2="Partly"</formula>
    </cfRule>
    <cfRule type="expression" priority="12" aboveAverage="0" equalAverage="0" bottom="0" percent="0" rank="0" text="" dxfId="9">
      <formula>$E2="UI only"</formula>
    </cfRule>
    <cfRule type="expression" priority="13" aboveAverage="0" equalAverage="0" bottom="0" percent="0" rank="0" text="" dxfId="10">
      <formula>$E2="Not covered"</formula>
    </cfRule>
  </conditionalFormatting>
  <conditionalFormatting sqref="F2:F51">
    <cfRule type="expression" priority="14" aboveAverage="0" equalAverage="0" bottom="0" percent="0" rank="0" text="" dxfId="7">
      <formula>$F2="Covered"</formula>
    </cfRule>
    <cfRule type="expression" priority="15" aboveAverage="0" equalAverage="0" bottom="0" percent="0" rank="0" text="" dxfId="8">
      <formula>$F2="Partly"</formula>
    </cfRule>
    <cfRule type="expression" priority="16" aboveAverage="0" equalAverage="0" bottom="0" percent="0" rank="0" text="" dxfId="9">
      <formula>$F2="UI only"</formula>
    </cfRule>
    <cfRule type="expression" priority="17" aboveAverage="0" equalAverage="0" bottom="0" percent="0" rank="0" text="" dxfId="10">
      <formula>$F2="Not covered"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3" min="2" style="1" width="55"/>
    <col collapsed="false" customWidth="true" hidden="false" outlineLevel="0" max="4" min="4" style="1" width="14"/>
    <col collapsed="false" customWidth="true" hidden="false" outlineLevel="0" max="5" min="5" style="1" width="16"/>
    <col collapsed="false" customWidth="true" hidden="false" outlineLevel="0" max="6" min="6" style="1" width="12"/>
  </cols>
  <sheetData>
    <row r="1" customFormat="false" ht="15" hidden="false" customHeight="true" outlineLevel="0" collapsed="false">
      <c r="A1" s="16" t="s">
        <v>273</v>
      </c>
      <c r="B1" s="16" t="s">
        <v>274</v>
      </c>
      <c r="C1" s="16" t="s">
        <v>275</v>
      </c>
      <c r="D1" s="16" t="s">
        <v>276</v>
      </c>
      <c r="E1" s="16" t="s">
        <v>277</v>
      </c>
      <c r="F1" s="16" t="s">
        <v>278</v>
      </c>
    </row>
    <row r="2" customFormat="false" ht="23.25" hidden="false" customHeight="true" outlineLevel="0" collapsed="false">
      <c r="A2" s="19" t="s">
        <v>279</v>
      </c>
      <c r="B2" s="18" t="s">
        <v>280</v>
      </c>
      <c r="C2" s="18" t="s">
        <v>281</v>
      </c>
      <c r="D2" s="21" t="s">
        <v>282</v>
      </c>
      <c r="E2" s="19" t="s">
        <v>283</v>
      </c>
      <c r="F2" s="22" t="n">
        <v>46308</v>
      </c>
    </row>
    <row r="3" customFormat="false" ht="23.25" hidden="false" customHeight="true" outlineLevel="0" collapsed="false">
      <c r="A3" s="19" t="s">
        <v>71</v>
      </c>
      <c r="B3" s="18" t="s">
        <v>284</v>
      </c>
      <c r="C3" s="18" t="s">
        <v>285</v>
      </c>
      <c r="D3" s="21" t="s">
        <v>286</v>
      </c>
      <c r="E3" s="19" t="s">
        <v>283</v>
      </c>
      <c r="F3" s="22" t="n">
        <v>46311</v>
      </c>
    </row>
    <row r="4" customFormat="false" ht="23.25" hidden="false" customHeight="true" outlineLevel="0" collapsed="false">
      <c r="A4" s="19" t="s">
        <v>197</v>
      </c>
      <c r="B4" s="18" t="s">
        <v>287</v>
      </c>
      <c r="C4" s="18" t="s">
        <v>288</v>
      </c>
      <c r="D4" s="21" t="s">
        <v>289</v>
      </c>
      <c r="E4" s="19" t="s">
        <v>283</v>
      </c>
      <c r="F4" s="22" t="n">
        <v>46309</v>
      </c>
    </row>
    <row r="5" customFormat="false" ht="23.25" hidden="false" customHeight="true" outlineLevel="0" collapsed="false">
      <c r="A5" s="19" t="s">
        <v>202</v>
      </c>
      <c r="B5" s="18" t="s">
        <v>290</v>
      </c>
      <c r="C5" s="18" t="s">
        <v>291</v>
      </c>
      <c r="D5" s="21" t="s">
        <v>292</v>
      </c>
      <c r="E5" s="19" t="s">
        <v>283</v>
      </c>
      <c r="F5" s="22" t="n">
        <v>46310</v>
      </c>
    </row>
    <row r="6" customFormat="false" ht="15" hidden="false" customHeight="true" outlineLevel="0" collapsed="false">
      <c r="A6" s="19" t="s">
        <v>120</v>
      </c>
      <c r="B6" s="18" t="s">
        <v>293</v>
      </c>
      <c r="C6" s="18" t="s">
        <v>294</v>
      </c>
      <c r="D6" s="21" t="s">
        <v>292</v>
      </c>
      <c r="E6" s="19" t="s">
        <v>283</v>
      </c>
      <c r="F6" s="22" t="n">
        <v>46310</v>
      </c>
    </row>
    <row r="7" customFormat="false" ht="15" hidden="false" customHeight="true" outlineLevel="0" collapsed="false">
      <c r="A7" s="19" t="s">
        <v>91</v>
      </c>
      <c r="B7" s="18" t="s">
        <v>295</v>
      </c>
      <c r="C7" s="18" t="s">
        <v>296</v>
      </c>
      <c r="D7" s="21" t="s">
        <v>289</v>
      </c>
      <c r="E7" s="19" t="s">
        <v>283</v>
      </c>
      <c r="F7" s="22" t="n">
        <v>46311</v>
      </c>
    </row>
    <row r="8" customFormat="false" ht="15" hidden="false" customHeight="true" outlineLevel="0" collapsed="false">
      <c r="A8" s="19" t="s">
        <v>183</v>
      </c>
      <c r="B8" s="18" t="s">
        <v>297</v>
      </c>
      <c r="C8" s="18" t="s">
        <v>298</v>
      </c>
      <c r="D8" s="21" t="s">
        <v>299</v>
      </c>
      <c r="E8" s="19"/>
      <c r="F8" s="22"/>
    </row>
    <row r="9" customFormat="false" ht="15" hidden="false" customHeight="true" outlineLevel="0" collapsed="false">
      <c r="A9" s="19" t="s">
        <v>178</v>
      </c>
      <c r="B9" s="18" t="s">
        <v>300</v>
      </c>
      <c r="C9" s="18" t="s">
        <v>301</v>
      </c>
      <c r="D9" s="21" t="s">
        <v>299</v>
      </c>
      <c r="E9" s="19"/>
      <c r="F9" s="22"/>
    </row>
    <row r="10" customFormat="false" ht="15" hidden="false" customHeight="true" outlineLevel="0" collapsed="false">
      <c r="A10" s="19" t="s">
        <v>207</v>
      </c>
      <c r="B10" s="18" t="s">
        <v>302</v>
      </c>
      <c r="C10" s="18" t="s">
        <v>303</v>
      </c>
      <c r="D10" s="21" t="s">
        <v>299</v>
      </c>
      <c r="E10" s="19"/>
      <c r="F10" s="22"/>
    </row>
    <row r="11" customFormat="false" ht="15" hidden="false" customHeight="true" outlineLevel="0" collapsed="false">
      <c r="A11" s="19" t="s">
        <v>139</v>
      </c>
      <c r="B11" s="18" t="s">
        <v>304</v>
      </c>
      <c r="C11" s="18" t="s">
        <v>305</v>
      </c>
      <c r="D11" s="21" t="s">
        <v>299</v>
      </c>
      <c r="E11" s="19"/>
      <c r="F11" s="22"/>
    </row>
    <row r="12" customFormat="false" ht="15" hidden="false" customHeight="true" outlineLevel="0" collapsed="false">
      <c r="A12" s="19" t="s">
        <v>144</v>
      </c>
      <c r="B12" s="18" t="s">
        <v>306</v>
      </c>
      <c r="C12" s="18" t="s">
        <v>307</v>
      </c>
      <c r="D12" s="21" t="s">
        <v>299</v>
      </c>
      <c r="E12" s="19"/>
      <c r="F12" s="22"/>
    </row>
    <row r="13" customFormat="false" ht="15" hidden="false" customHeight="true" outlineLevel="0" collapsed="false">
      <c r="A13" s="19" t="s">
        <v>308</v>
      </c>
      <c r="B13" s="18" t="s">
        <v>309</v>
      </c>
      <c r="C13" s="18" t="s">
        <v>310</v>
      </c>
      <c r="D13" s="21" t="s">
        <v>299</v>
      </c>
      <c r="E13" s="19"/>
      <c r="F13" s="22"/>
    </row>
    <row r="14" customFormat="false" ht="15" hidden="false" customHeight="true" outlineLevel="0" collapsed="false">
      <c r="A14" s="19" t="s">
        <v>311</v>
      </c>
      <c r="B14" s="18" t="s">
        <v>312</v>
      </c>
      <c r="C14" s="18" t="s">
        <v>313</v>
      </c>
      <c r="D14" s="21" t="s">
        <v>314</v>
      </c>
      <c r="E14" s="19" t="s">
        <v>315</v>
      </c>
      <c r="F14" s="22" t="n">
        <v>46324</v>
      </c>
    </row>
    <row r="16" customFormat="false" ht="15" hidden="false" customHeight="true" outlineLevel="0" collapsed="false">
      <c r="A16" s="3" t="s">
        <v>316</v>
      </c>
    </row>
  </sheetData>
  <dataValidations count="1">
    <dataValidation allowBlank="false" errorStyle="stop" operator="between" showDropDown="false" showErrorMessage="false" showInputMessage="false" sqref="D2:D14" type="list">
      <formula1>"Fix now,Decide,Ask Madam,Limitation,Screen work,Done"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10"/>
  </cols>
  <sheetData>
    <row r="1" customFormat="false" ht="15" hidden="false" customHeight="true" outlineLevel="0" collapsed="false">
      <c r="A1" s="16" t="s">
        <v>317</v>
      </c>
      <c r="B1" s="16" t="s">
        <v>318</v>
      </c>
    </row>
    <row r="2" customFormat="false" ht="23.25" hidden="false" customHeight="true" outlineLevel="0" collapsed="false">
      <c r="A2" s="17" t="s">
        <v>319</v>
      </c>
      <c r="B2" s="18" t="s">
        <v>320</v>
      </c>
    </row>
    <row r="3" customFormat="false" ht="23.25" hidden="false" customHeight="true" outlineLevel="0" collapsed="false">
      <c r="A3" s="17" t="s">
        <v>6</v>
      </c>
      <c r="B3" s="18" t="s">
        <v>321</v>
      </c>
    </row>
    <row r="4" customFormat="false" ht="15" hidden="false" customHeight="true" outlineLevel="0" collapsed="false">
      <c r="A4" s="17" t="s">
        <v>7</v>
      </c>
      <c r="B4" s="18" t="s">
        <v>322</v>
      </c>
    </row>
    <row r="5" customFormat="false" ht="23.25" hidden="false" customHeight="true" outlineLevel="0" collapsed="false">
      <c r="A5" s="17" t="s">
        <v>8</v>
      </c>
      <c r="B5" s="18" t="s">
        <v>323</v>
      </c>
    </row>
    <row r="6" customFormat="false" ht="15" hidden="false" customHeight="true" outlineLevel="0" collapsed="false">
      <c r="A6" s="17" t="s">
        <v>9</v>
      </c>
      <c r="B6" s="18" t="s">
        <v>324</v>
      </c>
    </row>
    <row r="7" customFormat="false" ht="15" hidden="false" customHeight="true" outlineLevel="0" collapsed="false">
      <c r="A7" s="17" t="s">
        <v>26</v>
      </c>
      <c r="B7" s="18" t="s">
        <v>325</v>
      </c>
    </row>
    <row r="8" customFormat="false" ht="23.25" hidden="false" customHeight="true" outlineLevel="0" collapsed="false">
      <c r="A8" s="17" t="s">
        <v>326</v>
      </c>
      <c r="B8" s="18" t="s">
        <v>327</v>
      </c>
    </row>
    <row r="9" customFormat="false" ht="23.25" hidden="false" customHeight="true" outlineLevel="0" collapsed="false">
      <c r="A9" s="17" t="s">
        <v>328</v>
      </c>
      <c r="B9" s="18" t="s">
        <v>329</v>
      </c>
    </row>
    <row r="10" customFormat="false" ht="23.25" hidden="false" customHeight="true" outlineLevel="0" collapsed="false">
      <c r="A10" s="17" t="s">
        <v>330</v>
      </c>
      <c r="B10" s="18" t="s">
        <v>331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2026-10-13T11:05:52Z</dcterms:created>
  <dc:creator>openpyxl</dc:creator>
  <dc:description/>
  <dc:language>en-US</dc:language>
  <cp:lastModifiedBy/>
  <dcterms:modified xsi:type="dcterms:W3CDTF">2026-10-14T16:50:32Z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