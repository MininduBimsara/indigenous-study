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50 Guideline Audit" sheetId="1" r:id="rId1"/>
    <sheet name="Summary" sheetId="2" r:id="rId2"/>
    <sheet name="Method and 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<sst xmlns="http://schemas.openxmlformats.org/spreadsheetml/2006/main" count="606" uniqueCount="325">
  <si>
    <t>ID</t>
  </si>
  <si>
    <t>Guideline</t>
  </si>
  <si>
    <t>Catalogue group</t>
  </si>
  <si>
    <t>Catalogue page</t>
  </si>
  <si>
    <t>First-pass rating</t>
  </si>
  <si>
    <t>Previous second rating</t>
  </si>
  <si>
    <t>Revised rating</t>
  </si>
  <si>
    <t>Review decision</t>
  </si>
  <si>
    <t>Framework page(s)</t>
  </si>
  <si>
    <t>Basis for revised rating</t>
  </si>
  <si>
    <t>Catalogue implication (verbatim)</t>
  </si>
  <si>
    <t>Catalogue adaptation (verbatim)</t>
  </si>
  <si>
    <t>G4</t>
  </si>
  <si>
    <t>One step per screen</t>
  </si>
  <si>
    <t>Direct</t>
  </si>
  <si>
    <t>Partly</t>
  </si>
  <si>
    <t>Keep</t>
  </si>
  <si>
    <t>F4</t>
  </si>
  <si>
    <t>L2 controls content order/depth, but no one-step-per-screen stepper or Back/Next flow is specified.</t>
  </si>
  <si>
    <t>Stage the explanation: bottom line, reason, evidence, uncertainty</t>
  </si>
  <si>
    <t>"Why?" opens a stepper: bottom line, reason, evidence, how sure, one screen each with Back and Next</t>
  </si>
  <si>
    <t>G11</t>
  </si>
  <si>
    <t>Most important stands out</t>
  </si>
  <si>
    <t>Covered</t>
  </si>
  <si>
    <t>F3-F5</t>
  </si>
  <si>
    <t>Hazard/action are retained, but the priority ordering and dominant action button are not specified.</t>
  </si>
  <si>
    <t>Lead with conclusion and action; the "why" is secondary</t>
  </si>
  <si>
    <t>Bottom line and action button fill the top of the forecast card; "Why?" is a smaller secondary button below</t>
  </si>
  <si>
    <t>G14</t>
  </si>
  <si>
    <t>Use clear words</t>
  </si>
  <si>
    <t>F3</t>
  </si>
  <si>
    <t>supportingObservations is available; a plain-language multilingual input-to-words mapping is not specified.</t>
  </si>
  <si>
    <t>Raw XAI output uses feature names (soil_moisture_72h, "probability"). Each reason must become everyday words ("the ground is already wet").</t>
  </si>
  <si>
    <t>A lookup table in the data model maps each model input to plain words in Sinhala, Tamil and English. The "Why?" screen reads only from it.</t>
  </si>
  <si>
    <t>G15</t>
  </si>
  <si>
    <t>Simple tense and voice</t>
  </si>
  <si>
    <t>Indirect</t>
  </si>
  <si>
    <t>UI only</t>
  </si>
  <si>
    <t>Not covered</t>
  </si>
  <si>
    <t>F5</t>
  </si>
  <si>
    <t>A sample alert is simple, but no template-wide active-voice/tense rule is documented.</t>
  </si>
  <si>
    <t>"Flooding is possible here", not "A flood event has been forecast with moderate certainty".</t>
  </si>
  <si>
    <t>All explanation templates use active voice and present or simple future tense; checked in the screen spec.</t>
  </si>
  <si>
    <t>G16</t>
  </si>
  <si>
    <t>Avoid double negatives</t>
  </si>
  <si>
    <t>checkInvariants() preserves forecast facts; it does not reject double negatives/nested clauses.</t>
  </si>
  <si>
    <t>Uncertainty wording invites negatives ("it is not unlikely"). One clause per sentence; no negated likelihood words.</t>
  </si>
  <si>
    <t>A banned-phrase list in the template rules; Layer 4 AI wording that contains one is rejected.</t>
  </si>
  <si>
    <t>G17</t>
  </si>
  <si>
    <t>Literal language</t>
  </si>
  <si>
    <t>F4-F5</t>
  </si>
  <si>
    <t>No idiom or metaphor rejection for deterministic templates or L4 rewording is defined.</t>
  </si>
  <si>
    <t>No metaphors for risk or confidence ("keep an eye on the river", "a perfect storm").</t>
  </si>
  <si>
    <t>Fixed literal templates in Layer 2; the invariants check also rejects AI rewording with idioms.</t>
  </si>
  <si>
    <t>G18</t>
  </si>
  <si>
    <t>Keep text succinct</t>
  </si>
  <si>
    <t>L3 forces a short alert line, but no word budget is set for all explanation steps.</t>
  </si>
  <si>
    <t>Each explanation step is one sentence of 15 words or fewer; the five invariants fit in three sentences.</t>
  </si>
  <si>
    <t>A word budget per text slot in each screen spec, so the forecast card never scrolls.</t>
  </si>
  <si>
    <t>G19</t>
  </si>
  <si>
    <t>Clear formatting and punctuation</t>
  </si>
  <si>
    <t>Unverified UI</t>
  </si>
  <si>
    <t>—</t>
  </si>
  <si>
    <t>No punctuation/case/consistent-number style rule; screen implementation not supplied.</t>
  </si>
  <si>
    <t>No all-caps or "!!!" in explanations (v2 says "Danger! Flood coming!"). Numbers written one consistent way ("3 in 10", "30%").</t>
  </si>
  <si>
    <t>Style rules for the forecast card and the likelihood component.</t>
  </si>
  <si>
    <t>G20</t>
  </si>
  <si>
    <t>Required letters/symbols (SI/TA)</t>
  </si>
  <si>
    <t>None found</t>
  </si>
  <si>
    <t>No Sinhala/Tamil font, Unicode, percentage or date rendering tests are given.</t>
  </si>
  <si>
    <t>Sinhala and Tamil explanations render correctly, including numerals, % and dates. Supports G121.</t>
  </si>
  <si>
    <t>Unicode and font test for every explanation string in all three languages.</t>
  </si>
  <si>
    <t>G21</t>
  </si>
  <si>
    <t>Summary of long documents</t>
  </si>
  <si>
    <t>L2 varies order/depth and L3 is concise; bottom-line-first in normal screens is unproven.</t>
  </si>
  <si>
    <t>Open with a one-sentence bottom line: what, where, when, what to do</t>
  </si>
  <si>
    <t>The forecast card and the push notification both start with the same bottom-line sentence; reasons and evidence sit behind "Why?" and "How sure?"</t>
  </si>
  <si>
    <t>G22</t>
  </si>
  <si>
    <t>Separate each instruction</t>
  </si>
  <si>
    <t>F3-F4</t>
  </si>
  <si>
    <t>forecast.action.steps exists, but numbering, each step on a line, or checkboxes are not specified.</t>
  </si>
  <si>
    <t>The action part of the explanation ("get your go-bag ready") is a numbered list, one step per line.</t>
  </si>
  <si>
    <t>Action list with a checkbox per step under the forecast card, fed by the CAP instruction field.</t>
  </si>
  <si>
    <t>G23</t>
  </si>
  <si>
    <t>White spacing</t>
  </si>
  <si>
    <t>No line-spacing or fixed-gap requirement documented; screen implementation not supplied.</t>
  </si>
  <si>
    <t>Space between explanation steps so each reads as its own unit.</t>
  </si>
  <si>
    <t>1.5 line height and fixed gaps between steps on explanation screens.</t>
  </si>
  <si>
    <t>G24</t>
  </si>
  <si>
    <t>Foreground not obscured</t>
  </si>
  <si>
    <t>No rule against explanation text over images; screen implementation not supplied.</t>
  </si>
  <si>
    <t>No explanation text over the river photo or the icon array.</t>
  </si>
  <si>
    <t>Text sits beside or under images, never on top.</t>
  </si>
  <si>
    <t>G25</t>
  </si>
  <si>
    <t>Explain implied content</t>
  </si>
  <si>
    <t>Clear correction</t>
  </si>
  <si>
    <t>The catalogue asks for concrete *consequences* of risk categories. supportingObservations explains why risk is high, not what the warning means for homes; no consequence field/rule exists.</t>
  </si>
  <si>
    <t>Explain what a risk category means in concrete consequences, not the label alone</t>
  </si>
  <si>
    <t>Each app state (Safe, Forecast, Warning, Danger) stores a consequence line shown under its badge, e.g. "Water may come into houses near the river"</t>
  </si>
  <si>
    <t>G26</t>
  </si>
  <si>
    <t>Alternatives for numbers</t>
  </si>
  <si>
    <t>F3,F5</t>
  </si>
  <si>
    <t>F5 demonstrates likelihoodForm=wordPictureNumber: CAP word, ten-house icon array and 29% on tap; likelihood invariant checks meaning.</t>
  </si>
  <si>
    <t>Word + picture (e.g. 3 of 10 houses), exact number on request</t>
  </si>
  <si>
    <t>One likelihood component renders the profile's form: word card, icon array of 10 houses, "30%" on tap; reused on the card, the notification and the "How sure?" screen</t>
  </si>
  <si>
    <t>G27</t>
  </si>
  <si>
    <t>Content does not move unexpectedly</t>
  </si>
  <si>
    <t>compareForecasts() does not guarantee fixed card slots or advance change banner.</t>
  </si>
  <si>
    <t>A revised forecast must not reflow the card under the user's finger; the change is announced first (G89).</t>
  </si>
  <si>
    <t>Forecast card keeps fixed slots; new values arrive behind a "The forecast has changed" banner.</t>
  </si>
  <si>
    <t>G38</t>
  </si>
  <si>
    <t>Familiar metrics and units</t>
  </si>
  <si>
    <t>Forecast.landmark exists as a placeholder; real levels and localized weekday/unit rules are not supplied.</t>
  </si>
  <si>
    <t>River level as "knee-deep" or against a local landmark; local weekday and time</t>
  </si>
  <si>
    <t>River level drawn against the gauge's local landmark (bridge mark) from stored reference levels; times in Sri Lanka time with the weekday in Sinhala, Tamil or English</t>
  </si>
  <si>
    <t>G41</t>
  </si>
  <si>
    <t>Avoid too much content</t>
  </si>
  <si>
    <t>Keep; UI check</t>
  </si>
  <si>
    <t>F2,F4</t>
  </si>
  <si>
    <t>The L2 profile chooses content and depth while invariants protect facts; this handles framework-side disclosure, not yet verified screen taps.</t>
  </si>
  <si>
    <t>Progressive disclosure; detail level is a profile attribute</t>
  </si>
  <si>
    <t>The profile's "detail on first view" setting decides how many explanation parts render; the rest open on tap</t>
  </si>
  <si>
    <t>G42</t>
  </si>
  <si>
    <t>Information to prepare for task</t>
  </si>
  <si>
    <t>Interpretive correction</t>
  </si>
  <si>
    <t>Time-window invariant, Forecast.nextUpdateAt and forecast.action provide traceable timing/update/preparation data. Visible placement is a separate screen check.</t>
  </si>
  <si>
    <t>State expected timing and when the next forecast update arrives</t>
  </si>
  <si>
    <t>Forecast screen shows "Next update: tonight at 6 pm" and what to prepare before the time window, read from forecast schedule metadata</t>
  </si>
  <si>
    <t>G47</t>
  </si>
  <si>
    <t>Don't rely on calculation</t>
  </si>
  <si>
    <t>compareForecasts() removes percentage comparison burden, but date/daypart conversion is missing.</t>
  </si>
  <si>
    <t>"In 2 days" becomes "Thursday morning"; the system compares forecasts for the user</t>
  </si>
  <si>
    <t>The app converts lead time to day and part of day, and computes the change from the previous forecast; the user never subtracts dates or compares percentages</t>
  </si>
  <si>
    <t>G48</t>
  </si>
  <si>
    <t>Provide human help</t>
  </si>
  <si>
    <t>No saved helper or emergency contact/call option is identified.</t>
  </si>
  <si>
    <t>"Ask someone to explain" as an explanation option</t>
  </si>
  <si>
    <t>An "Ask someone to explain" button on explanation screens calls or messages the saved helper or the emergency hotline</t>
  </si>
  <si>
    <t>G49</t>
  </si>
  <si>
    <t>Alternative content for complex info</t>
  </si>
  <si>
    <t>F2-F5</t>
  </si>
  <si>
    <t>All L2 variants must pass fidelity checks; a dedicated Easy Read text/picture toggle is not defined.</t>
  </si>
  <si>
    <t>Easy Read version must carry the same facts (fidelity)</t>
  </si>
  <si>
    <t>An Easy Read toggle swaps in the symbol-supported text built from the same forecast object; the invariants check runs on both versions</t>
  </si>
  <si>
    <t>G50</t>
  </si>
  <si>
    <t>State results of actions</t>
  </si>
  <si>
    <t>Action steps exist but no predicted staying-versus-leaving consequences are presented.</t>
  </si>
  <si>
    <t>State what is likely to happen if they stay vs leave</t>
  </si>
  <si>
    <t>Action card under the forecast gives one line for staying and one for leaving, linked to the CAP instruction field</t>
  </si>
  <si>
    <t>G54</t>
  </si>
  <si>
    <t>Provide reminders</t>
  </si>
  <si>
    <t>Keep; weak partial</t>
  </si>
  <si>
    <t>Comparison capability identifies changes, but no scheduled reminder that re-explains current prediction is defined.</t>
  </si>
  <si>
    <t>Reminders re-explain the current prediction and flag changes</t>
  </si>
  <si>
    <t>Scheduled local notifications restate the current forecast before its time window and say if it has changed</t>
  </si>
  <si>
    <t>G57</t>
  </si>
  <si>
    <t>Support simplification</t>
  </si>
  <si>
    <t>F2,F4-F5</t>
  </si>
  <si>
    <t>L2 can reduce content while retaining all five facts; named normal-mode one-card simple preset is absent.</t>
  </si>
  <si>
    <t>Simple mode = minimal explanation that still keeps the invariants</t>
  </si>
  <si>
    <t>Simple mode shows one card with the five invariants only; history, map and reasons are hidden</t>
  </si>
  <si>
    <t>G58</t>
  </si>
  <si>
    <t>Personalised, persistent</t>
  </si>
  <si>
    <t>User-chosen profile exists; device persistence, startup load, and editing are absent.</t>
  </si>
  <si>
    <t>Explanation profile persists and stays editable</t>
  </si>
  <si>
    <t>The profile is stored on the device, loaded at start-up and edited in Settings under "How we explain"</t>
  </si>
  <si>
    <t>G59</t>
  </si>
  <si>
    <t>Info and relationships (screen readers)</t>
  </si>
  <si>
    <t>No screen-reader semantics, accessible headings or text labels for arrays.</t>
  </si>
  <si>
    <t>The explanation's structure (bottom line, reason, how sure) is exposed to screen readers. The icon array needs a text equivalent.</t>
  </si>
  <si>
    <t>accessibilityRole="header" on each step; icon array labelled "3 of 10 houses filled".</t>
  </si>
  <si>
    <t>G65</t>
  </si>
  <si>
    <t>Focus not obscured</t>
  </si>
  <si>
    <t>No test keeping Why/How sure controls visible when alerts appear.</t>
  </si>
  <si>
    <t>"Why?" and "How sure?" are never hidden under a banner.</t>
  </si>
  <si>
    <t>Layout test: explanation buttons stay visible when an alert banner appears.</t>
  </si>
  <si>
    <t>G67</t>
  </si>
  <si>
    <t>Reading level</t>
  </si>
  <si>
    <t>Changing depth does not establish a reading-level requirement or Easy Read template language.</t>
  </si>
  <si>
    <t>Explanation meets a target reading level; fuller version as supplement</t>
  </si>
  <si>
    <t>Explanation templates are written to the target reading level; a "More detail" link opens the fuller version</t>
  </si>
  <si>
    <t>G73</t>
  </si>
  <si>
    <t>Persistent visual context</t>
  </si>
  <si>
    <t>F2-F3</t>
  </si>
  <si>
    <t>Both PLACE and TIME WINDOW are compulsory checked slots in every adapted explanation, across all layers. Fixed header remains an unverified UI detail.</t>
  </si>
  <si>
    <t>Always show the prediction's area and time window</t>
  </si>
  <si>
    <t>A fixed header on every forecast and explanation screen: area name, time window and the "Synthetic data" label</t>
  </si>
  <si>
    <t>G76</t>
  </si>
  <si>
    <t>Realistic imagery</t>
  </si>
  <si>
    <t>Landmark comparison has a placeholder data field, but neither a real photo nor local reference levels are provided.</t>
  </si>
  <si>
    <t>The landmark comparison uses a real photo of the local bridge marker, not a cartoon.</t>
  </si>
  <si>
    <t>Per-gauge landmark photos stored with the local reference levels (already a capability in Task 5).</t>
  </si>
  <si>
    <t>G77</t>
  </si>
  <si>
    <t>Avoid metaphorical icons</t>
  </si>
  <si>
    <t>The illustrated array uses familiar house pictograms, but no rule excludes dice/gauges or requires literal labels elsewhere.</t>
  </si>
  <si>
    <t>"How sure?" uses no dice or gauge icon; reasons use literal rain and river icons.</t>
  </si>
  <si>
    <t>Icon set for explanation screens limited to literal pictograms with a word label.</t>
  </si>
  <si>
    <t>G79</t>
  </si>
  <si>
    <t>Co-design with dementia users</t>
  </si>
  <si>
    <t>Co-design with users/carers is explicitly future work, not an accomplished method.</t>
  </si>
  <si>
    <t>Explanation profiles should later be co-designed with users and carers.</t>
  </si>
  <si>
    <t>Not buildable in this paper (no user study). Fits the limitations and future-work section.</t>
  </si>
  <si>
    <t>G80</t>
  </si>
  <si>
    <t>Caregiver companion view</t>
  </si>
  <si>
    <t>Carer consent and answerer fields exist; the separate caregiver profile/view does not.</t>
  </si>
  <si>
    <t>Carer may see more detail; same prediction and invariants</t>
  </si>
  <si>
    <t>The carer's view receives the same forecast with the exact figure and reasons, and shows which profile the user has</t>
  </si>
  <si>
    <t>G81</t>
  </si>
  <si>
    <t>Familiar, real-world metaphors</t>
  </si>
  <si>
    <t>The F5 worked trace explicitly uses a ten-house icon array for likelihood, with profile selection; the essential familiar representation is demonstrated. Universal ban on abstract charts is not evidenced.</t>
  </si>
  <si>
    <t>Likelihood as houses (icon array), not fan charts, error bars or probability curves.</t>
  </si>
  <si>
    <t>Only icon arrays and the landmark picture are used to show uncertainty and level.</t>
  </si>
  <si>
    <t>G84</t>
  </si>
  <si>
    <t>Stigma-free language</t>
  </si>
  <si>
    <t>F2</t>
  </si>
  <si>
    <t>The framework diagram expressly describes profile selection by need, not diagnosis.</t>
  </si>
  <si>
    <t>Name profiles by need, never by condition</t>
  </si>
  <si>
    <t>Profile names ("Just tell me what to do" and others) appear in setup, settings and notifications; no condition names anywhere in the app</t>
  </si>
  <si>
    <t>G88</t>
  </si>
  <si>
    <t>Literal language + visual support</t>
  </si>
  <si>
    <t>F5 pairs a likelihood word with a house array, but every explanation element does not have a literal pictogram/photo.</t>
  </si>
  <si>
    <t>Pair each explanation element with a pictogram or photo</t>
  </si>
  <si>
    <t>Every explanation line has a pictogram from one fixed set (rain, river rising, house, go-bag)</t>
  </si>
  <si>
    <t>G89</t>
  </si>
  <si>
    <t>Warning before change</t>
  </si>
  <si>
    <t>compareForecasts() detects changes; alert-before-new-value order/notification is not specified.</t>
  </si>
  <si>
    <t>Announce and explain an upgrade or downgrade before the new value</t>
  </si>
  <si>
    <t>When a new forecast changes the level, a "The forecast has changed" banner and notification appear before the new value, with a one-line reason</t>
  </si>
  <si>
    <t>G107</t>
  </si>
  <si>
    <t>Caregiver-mediated configuration</t>
  </si>
  <si>
    <t>carerConsent and answeredBy exist; there is no documented consent-gated onboarding configuration path.</t>
  </si>
  <si>
    <t>Carer can set the profile with the user's consent</t>
  </si>
  <si>
    <t>A carer-assisted setup path in onboarding, with a consent screen before the carer changes the profile; consent is stored</t>
  </si>
  <si>
    <t>G109</t>
  </si>
  <si>
    <t>Repeat important info</t>
  </si>
  <si>
    <t>No repeated latest-forecast restatement or repeat notifications specified.</t>
  </si>
  <si>
    <t>Periodic restatement reflects the latest prediction</t>
  </si>
  <si>
    <t>While a Forecast or Warning is active, the home screen and repeat notifications read the latest forecast, never a cached one</t>
  </si>
  <si>
    <t>G111</t>
  </si>
  <si>
    <t>Calm colours in non-urgent states</t>
  </si>
  <si>
    <t>No state colour policy in Framework v2, and theme/colors.ts was not supplied to verify UI only.</t>
  </si>
  <si>
    <t>Colour follows risk category; a "possible" flood in 2 days is not red</t>
  </si>
  <si>
    <t>The Forecast state uses a calm v2 colour token; red is kept for Danger and live alerts</t>
  </si>
  <si>
    <t>G114</t>
  </si>
  <si>
    <t>Time-boxed tasks / countdown</t>
  </si>
  <si>
    <t>Time window/next-update data are present; time chip, task estimates and countdown behaviour are not.</t>
  </si>
  <si>
    <t>Time-to-event as a concrete day or countdown with its window</t>
  </si>
  <si>
    <t>A time chip reads "Thursday morning (about 2 days)"; preparation steps carry time estimates</t>
  </si>
  <si>
    <t>G117</t>
  </si>
  <si>
    <t>Definition tooltips</t>
  </si>
  <si>
    <t>No tappable definitions for technical language specified.</t>
  </si>
  <si>
    <t>Tap-to-define any technical term left in the explanation</t>
  </si>
  <si>
    <t>Terms such as "danger level" or "upstream" are tappable and show a one-line definition</t>
  </si>
  <si>
    <t>G118</t>
  </si>
  <si>
    <t>Multi-modal alert</t>
  </si>
  <si>
    <t>Generic form adaptation does not document voice plus vibration channels for notifications.</t>
  </si>
  <si>
    <t>A forecast change or upgrade is announced through more than one channel. Overlaps G128.</t>
  </si>
  <si>
    <t>Forecast-change notification uses text, a voice line and a short vibration.</t>
  </si>
  <si>
    <t>G119</t>
  </si>
  <si>
    <t>CAP message structure</t>
  </si>
  <si>
    <t>CAP certainty is a fidelity invariant, but full CAP severity/urgency/instruction structure is not established.</t>
  </si>
  <si>
    <t>CAP's certainty field (Observed / Likely / Possible / Unlikely) gives a standard word for likelihood</t>
  </si>
  <si>
    <t>The forecast data model carries CAP fields (certainty, severity, urgency, instruction); the certainty word drives the likelihood word on every screen</t>
  </si>
  <si>
    <t>G120</t>
  </si>
  <si>
    <t>Universal hazard symbols</t>
  </si>
  <si>
    <t>Preserving the hazard field does not provide a standard flood pictogram.</t>
  </si>
  <si>
    <t>The hazard invariant always carries the standard flood pictogram, so the hazard is clear without reading.</t>
  </si>
  <si>
    <t>One fixed flood symbol on every forecast, explanation and notification screen.</t>
  </si>
  <si>
    <t>G121</t>
  </si>
  <si>
    <t>Local-language Easy Read</t>
  </si>
  <si>
    <t>No three-language Easy Read templates or language-selection field in v2.</t>
  </si>
  <si>
    <t>Easy Read explanation in Sinhala, Tamil, English</t>
  </si>
  <si>
    <t>Every explanation template exists in Sinhala, Tamil and English Easy Read; the language comes from the profile</t>
  </si>
  <si>
    <t>G124</t>
  </si>
  <si>
    <t>One decision under stress</t>
  </si>
  <si>
    <t>Explicit conflict</t>
  </si>
  <si>
    <t>L3 offers a short alert, but it deliberately keeps all five invariants. The catalogue asks for hazard/action/call-only; v2 itself flags this conflict for the supervisor.</t>
  </si>
  <si>
    <t>Action-only while an alert is live; the "why" is deferred</t>
  </si>
  <si>
    <t>When the forecast becomes a live alert (Layer 3), every profile shows hazard, action and a call button only; "Why?" returns when the alert ends</t>
  </si>
  <si>
    <t>G125</t>
  </si>
  <si>
    <t>Pre-rehearsed action plan</t>
  </si>
  <si>
    <t>No calm-time practice mode teaching possible/likely warnings.</t>
  </si>
  <si>
    <t>Teach what "Possible" and "Likely" mean in calm time</t>
  </si>
  <si>
    <t>A practice mode in calm time shows a sample "Possible" and "Likely" forecast and what to do for each</t>
  </si>
  <si>
    <t>G128</t>
  </si>
  <si>
    <t>Multiple representations</t>
  </si>
  <si>
    <t>Words and pictograms are documented; read-aloud audio and all-form modality preferences are not.</t>
  </si>
  <si>
    <t>Same explanation as text, audio, symbols; modality is a profile attribute</t>
  </si>
  <si>
    <t>Each explanation is available as text, read-aloud audio and pictograms; the profile picks the default modality</t>
  </si>
  <si>
    <t>Independent XAI guideline coverage re-audit</t>
  </si>
  <si>
    <t>Rating</t>
  </si>
  <si>
    <t>Old second</t>
  </si>
  <si>
    <t>Re-audit</t>
  </si>
  <si>
    <t>Total</t>
  </si>
  <si>
    <t>Interpretation</t>
  </si>
  <si>
    <t>Three clear/conceptual corrections: G25, G42, G73. G81 is a more interpretive change, and remains reviewable.</t>
  </si>
  <si>
    <t>G124 is a genuine conflict: catalogue expects action-first minimal live alert; Framework v2 deliberately retains five invariants.</t>
  </si>
  <si>
    <t>UI only = 0 VERIFIED; no screen-spec/code artefacts were available. Not covered means NOT DOCUMENTED, not proven absent.</t>
  </si>
  <si>
    <t>No empirical user validation is inferred from coverage. Evidence strength (Direct/Indirect/None) is separate from model coverage.</t>
  </si>
  <si>
    <t>READING NOTE</t>
  </si>
  <si>
    <t>Definition</t>
  </si>
  <si>
    <t>Scope</t>
  </si>
  <si>
    <t>50 guidelines in 18-page evidence catalogue; requirements checked against 6-page Framework v2.</t>
  </si>
  <si>
    <t>Evidence class</t>
  </si>
  <si>
    <t>Direct/Indirect/None measures strength of published evidence; it DOES NOT mean framework-covered/not-covered.</t>
  </si>
  <si>
    <t>An identifiable framework capability, invariant, profile field or layer satisfies the guideline's principal explanation requirement. UI details separately unverified.</t>
  </si>
  <si>
    <t>Real but incomplete handling of the same requirement; key additional rules, fields or screens are missing.</t>
  </si>
  <si>
    <t>No sufficiently matching framework rule, field or verified UI evidence in supplied files; not proof feature absent elsewhere.</t>
  </si>
  <si>
    <t>Requires screen/code proof. No screens, theme files, or model source were attached, so no row independently verifies UI only.</t>
  </si>
  <si>
    <t>Source 1</t>
  </si>
  <si>
    <t>xai-guideline-evidence-catalogue(1).pdf, 18 pages (5 October 2026)</t>
  </si>
  <si>
    <t>Source 2</t>
  </si>
  <si>
    <t>Framework_v2(1).pdf, 6 pages (11 October 2026)</t>
  </si>
  <si>
    <t>Source 3</t>
  </si>
  <si>
    <t>How to check the 50 guidelines against Framework v2(1).pdf, 7 pages (12 October 2026)</t>
  </si>
  <si>
    <t>Source 4</t>
  </si>
  <si>
    <t>Framework_v2_Second_Rating(1).pdf, 5 pages (previous rating)</t>
  </si>
  <si>
    <t>Limitations</t>
  </si>
  <si>
    <t>No model/*.ts files, screen specs S07-S11 or themes have been supplied. The catalogue also does not validate AI explanations for cognitively impaired study participants.</t>
  </si>
  <si>
    <t>G81 judgement call</t>
  </si>
  <si>
    <t>The house-array example is a traceable compliant representation; if Covered requires an explicit ban on abstract charts across every screen, keep it Partly.</t>
  </si>
  <si>
    <t>G42 judgement call</t>
  </si>
  <si>
    <t>NextUpdateAt and action/window fields satisfy framework-side capability; showing next update at required prominence needs UI verification.</t>
  </si>
  <si>
    <t>G41 judgement call</t>
  </si>
  <si>
    <t>L2 chooses content and depth. Progressive tap-to-reveal is an interface feature and is still unverified.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</si>
</sst>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12304A"/>
        <bgColor indexed="64"/>
      </patternFill>
    </fill>
    <fill>
      <patternFill patternType="solid">
        <fgColor rgb="FFDBE6F1"/>
        <bgColor indexed="64"/>
      </patternFill>
    </fill>
    <fill>
      <patternFill patternType="solid">
        <fgColor rgb="FFF0EEFF"/>
        <bgColor indexed="64"/>
      </patternFill>
    </fill>
    <fill>
      <patternFill patternType="solid">
        <fgColor rgb="FFFDE9E8"/>
        <bgColor indexed="64"/>
      </patternFill>
    </fill>
    <fill>
      <patternFill patternType="solid">
        <fgColor rgb="FFE8F1FF"/>
        <bgColor indexed="64"/>
      </patternFill>
    </fill>
    <fill>
      <patternFill patternType="solid">
        <fgColor rgb="FFD4F3E0"/>
        <bgColor indexed="64"/>
      </patternFill>
    </fill>
    <fill>
      <patternFill patternType="solid">
        <fgColor rgb="FFFBE7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4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wrapText="1"/>
    </xf>
    <xf numFmtId="0" fontId="0" fillId="4" borderId="0" xfId="0" applyNumberFormat="1" applyFont="1" applyFill="1" applyBorder="1" applyAlignment="1">
      <alignment horizontal="center" wrapText="1"/>
    </xf>
    <xf numFmtId="0" fontId="0" fillId="5" borderId="0" xfId="0" applyNumberFormat="1" applyFont="1" applyFill="1" applyBorder="1" applyAlignment="1">
      <alignment horizontal="center" wrapText="1"/>
    </xf>
    <xf numFmtId="0" fontId="0" fillId="6" borderId="0" xfId="0" applyNumberFormat="1" applyFont="1" applyFill="1" applyBorder="1" applyAlignment="1">
      <alignment horizontal="center" wrapText="1"/>
    </xf>
    <xf numFmtId="0" fontId="0" fillId="7" borderId="0" xfId="0" applyNumberFormat="1" applyFont="1" applyFill="1" applyBorder="1" applyAlignment="1">
      <alignment horizontal="center" wrapText="1"/>
    </xf>
    <xf numFmtId="0" fontId="0" fillId="8" borderId="0" xfId="0" applyNumberFormat="1" applyFont="1" applyFill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XAI50Audit" displayName="XAI50Audit" ref="A1:L51" totalsRowShown="0">
  <tableColumns count="12">
    <tableColumn id="1" name="ID"/>
    <tableColumn id="2" name="Guideline"/>
    <tableColumn id="3" name="Catalogue group"/>
    <tableColumn id="4" name="Catalogue page"/>
    <tableColumn id="5" name="First-pass rating"/>
    <tableColumn id="6" name="Previous second rating"/>
    <tableColumn id="7" name="Revised rating"/>
    <tableColumn id="8" name="Review decision"/>
    <tableColumn id="9" name="Framework page(s)"/>
    <tableColumn id="10" name="Basis for revised rating"/>
    <tableColumn id="11" name="Catalogue implication (verbatim)"/>
    <tableColumn id="12" name="Catalogue adaptation (verbatim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8"/>
  <cols>
    <col min="1" max="1" width="9" customWidth="1"/>
    <col min="2" max="2" width="27" customWidth="1"/>
    <col min="3" max="3" width="18.2" customWidth="1"/>
    <col min="4" max="4" width="20" customWidth="1"/>
    <col min="5" max="5" width="18" customWidth="1"/>
    <col min="6" max="6" width="25.2" customWidth="1"/>
    <col min="7" max="7" width="18" customWidth="1"/>
    <col min="8" max="8" width="23" customWidth="1"/>
    <col min="9" max="9" width="26.9" customWidth="1"/>
    <col min="10" max="10" width="82" customWidth="1"/>
    <col min="11" max="11" width="65" customWidth="1"/>
    <col min="12" max="12" width="75" customWidth="1"/>
  </cols>
  <sheetData>
    <row r="1" ht="30" customHeight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ht="66" customHeight="1" spans="1:12">
      <c r="A2" s="2" t="s">
        <v>12</v>
      </c>
      <c r="B2" s="2" t="s">
        <v>13</v>
      </c>
      <c r="C2" s="2" t="s">
        <v>14</v>
      </c>
      <c r="D2" s="2">
        <v>7</v>
      </c>
      <c r="E2" s="2" t="s">
        <v>15</v>
      </c>
      <c r="F2" s="5" t="s">
        <v>15</v>
      </c>
      <c r="G2" s="5" t="s">
        <v>15</v>
      </c>
      <c r="H2" s="5" t="s">
        <v>16</v>
      </c>
      <c r="I2" s="2" t="s">
        <v>17</v>
      </c>
      <c r="J2" s="2" t="s">
        <v>18</v>
      </c>
      <c r="K2" s="2" t="s">
        <v>19</v>
      </c>
      <c r="L2" s="2" t="s">
        <v>20</v>
      </c>
    </row>
    <row r="3" ht="66" customHeight="1" spans="1:12">
      <c r="A3" s="2" t="s">
        <v>21</v>
      </c>
      <c r="B3" s="2" t="s">
        <v>22</v>
      </c>
      <c r="C3" s="2" t="s">
        <v>14</v>
      </c>
      <c r="D3" s="2">
        <v>7</v>
      </c>
      <c r="E3" s="2" t="s">
        <v>23</v>
      </c>
      <c r="F3" s="5" t="s">
        <v>15</v>
      </c>
      <c r="G3" s="5" t="s">
        <v>15</v>
      </c>
      <c r="H3" s="5" t="s">
        <v>16</v>
      </c>
      <c r="I3" s="2" t="s">
        <v>24</v>
      </c>
      <c r="J3" s="2" t="s">
        <v>25</v>
      </c>
      <c r="K3" s="2" t="s">
        <v>26</v>
      </c>
      <c r="L3" s="2" t="s">
        <v>27</v>
      </c>
    </row>
    <row r="4" ht="66" customHeight="1" spans="1:12">
      <c r="A4" s="2" t="s">
        <v>28</v>
      </c>
      <c r="B4" s="2" t="s">
        <v>29</v>
      </c>
      <c r="C4" s="2" t="s">
        <v>14</v>
      </c>
      <c r="D4" s="2">
        <v>2</v>
      </c>
      <c r="E4" s="2" t="s">
        <v>23</v>
      </c>
      <c r="F4" s="5" t="s">
        <v>15</v>
      </c>
      <c r="G4" s="5" t="s">
        <v>15</v>
      </c>
      <c r="H4" s="5" t="s">
        <v>16</v>
      </c>
      <c r="I4" s="2" t="s">
        <v>30</v>
      </c>
      <c r="J4" s="2" t="s">
        <v>31</v>
      </c>
      <c r="K4" s="2" t="s">
        <v>32</v>
      </c>
      <c r="L4" s="2" t="s">
        <v>33</v>
      </c>
    </row>
    <row r="5" ht="66" customHeight="1" spans="1:12">
      <c r="A5" s="2" t="s">
        <v>34</v>
      </c>
      <c r="B5" s="2" t="s">
        <v>35</v>
      </c>
      <c r="C5" s="2" t="s">
        <v>36</v>
      </c>
      <c r="D5" s="2">
        <v>14</v>
      </c>
      <c r="E5" s="2" t="s">
        <v>37</v>
      </c>
      <c r="F5" s="5" t="s">
        <v>38</v>
      </c>
      <c r="G5" s="5" t="s">
        <v>38</v>
      </c>
      <c r="H5" s="5" t="s">
        <v>16</v>
      </c>
      <c r="I5" s="2" t="s">
        <v>39</v>
      </c>
      <c r="J5" s="2" t="s">
        <v>40</v>
      </c>
      <c r="K5" s="2" t="s">
        <v>41</v>
      </c>
      <c r="L5" s="2" t="s">
        <v>42</v>
      </c>
    </row>
    <row r="6" ht="66" customHeight="1" spans="1:12">
      <c r="A6" s="2" t="s">
        <v>43</v>
      </c>
      <c r="B6" s="2" t="s">
        <v>44</v>
      </c>
      <c r="C6" s="2" t="s">
        <v>14</v>
      </c>
      <c r="D6" s="2">
        <v>2</v>
      </c>
      <c r="E6" s="2" t="s">
        <v>15</v>
      </c>
      <c r="F6" s="5" t="s">
        <v>38</v>
      </c>
      <c r="G6" s="5" t="s">
        <v>38</v>
      </c>
      <c r="H6" s="5" t="s">
        <v>16</v>
      </c>
      <c r="I6" s="2" t="s">
        <v>24</v>
      </c>
      <c r="J6" s="2" t="s">
        <v>45</v>
      </c>
      <c r="K6" s="2" t="s">
        <v>46</v>
      </c>
      <c r="L6" s="2" t="s">
        <v>47</v>
      </c>
    </row>
    <row r="7" ht="66" customHeight="1" spans="1:12">
      <c r="A7" s="2" t="s">
        <v>48</v>
      </c>
      <c r="B7" s="2" t="s">
        <v>49</v>
      </c>
      <c r="C7" s="2" t="s">
        <v>36</v>
      </c>
      <c r="D7" s="2">
        <v>14</v>
      </c>
      <c r="E7" s="2" t="s">
        <v>15</v>
      </c>
      <c r="F7" s="5" t="s">
        <v>38</v>
      </c>
      <c r="G7" s="5" t="s">
        <v>38</v>
      </c>
      <c r="H7" s="5" t="s">
        <v>16</v>
      </c>
      <c r="I7" s="2" t="s">
        <v>50</v>
      </c>
      <c r="J7" s="2" t="s">
        <v>51</v>
      </c>
      <c r="K7" s="2" t="s">
        <v>52</v>
      </c>
      <c r="L7" s="2" t="s">
        <v>53</v>
      </c>
    </row>
    <row r="8" ht="66" customHeight="1" spans="1:12">
      <c r="A8" s="2" t="s">
        <v>54</v>
      </c>
      <c r="B8" s="2" t="s">
        <v>55</v>
      </c>
      <c r="C8" s="2" t="s">
        <v>14</v>
      </c>
      <c r="D8" s="2">
        <v>3</v>
      </c>
      <c r="E8" s="2" t="s">
        <v>37</v>
      </c>
      <c r="F8" s="5" t="s">
        <v>15</v>
      </c>
      <c r="G8" s="5" t="s">
        <v>15</v>
      </c>
      <c r="H8" s="5" t="s">
        <v>16</v>
      </c>
      <c r="I8" s="2" t="s">
        <v>39</v>
      </c>
      <c r="J8" s="2" t="s">
        <v>56</v>
      </c>
      <c r="K8" s="2" t="s">
        <v>57</v>
      </c>
      <c r="L8" s="2" t="s">
        <v>58</v>
      </c>
    </row>
    <row r="9" ht="66" customHeight="1" spans="1:12">
      <c r="A9" s="2" t="s">
        <v>59</v>
      </c>
      <c r="B9" s="2" t="s">
        <v>60</v>
      </c>
      <c r="C9" s="2" t="s">
        <v>14</v>
      </c>
      <c r="D9" s="2">
        <v>3</v>
      </c>
      <c r="E9" s="2" t="s">
        <v>37</v>
      </c>
      <c r="F9" s="5" t="s">
        <v>38</v>
      </c>
      <c r="G9" s="5" t="s">
        <v>38</v>
      </c>
      <c r="H9" s="6" t="s">
        <v>61</v>
      </c>
      <c r="I9" s="2" t="s">
        <v>62</v>
      </c>
      <c r="J9" s="2" t="s">
        <v>63</v>
      </c>
      <c r="K9" s="2" t="s">
        <v>64</v>
      </c>
      <c r="L9" s="2" t="s">
        <v>65</v>
      </c>
    </row>
    <row r="10" ht="66" customHeight="1" spans="1:12">
      <c r="A10" s="2" t="s">
        <v>66</v>
      </c>
      <c r="B10" s="2" t="s">
        <v>67</v>
      </c>
      <c r="C10" s="2" t="s">
        <v>68</v>
      </c>
      <c r="D10" s="2">
        <v>17</v>
      </c>
      <c r="E10" s="2" t="s">
        <v>38</v>
      </c>
      <c r="F10" s="5" t="s">
        <v>38</v>
      </c>
      <c r="G10" s="5" t="s">
        <v>38</v>
      </c>
      <c r="H10" s="6" t="s">
        <v>61</v>
      </c>
      <c r="I10" s="2" t="s">
        <v>62</v>
      </c>
      <c r="J10" s="2" t="s">
        <v>69</v>
      </c>
      <c r="K10" s="2" t="s">
        <v>70</v>
      </c>
      <c r="L10" s="2" t="s">
        <v>71</v>
      </c>
    </row>
    <row r="11" ht="66" customHeight="1" spans="1:12">
      <c r="A11" s="2" t="s">
        <v>72</v>
      </c>
      <c r="B11" s="2" t="s">
        <v>73</v>
      </c>
      <c r="C11" s="2" t="s">
        <v>14</v>
      </c>
      <c r="D11" s="2">
        <v>3</v>
      </c>
      <c r="E11" s="2" t="s">
        <v>23</v>
      </c>
      <c r="F11" s="5" t="s">
        <v>15</v>
      </c>
      <c r="G11" s="5" t="s">
        <v>15</v>
      </c>
      <c r="H11" s="5" t="s">
        <v>16</v>
      </c>
      <c r="I11" s="2" t="s">
        <v>50</v>
      </c>
      <c r="J11" s="2" t="s">
        <v>74</v>
      </c>
      <c r="K11" s="2" t="s">
        <v>75</v>
      </c>
      <c r="L11" s="2" t="s">
        <v>76</v>
      </c>
    </row>
    <row r="12" ht="66" customHeight="1" spans="1:12">
      <c r="A12" s="2" t="s">
        <v>77</v>
      </c>
      <c r="B12" s="2" t="s">
        <v>78</v>
      </c>
      <c r="C12" s="2" t="s">
        <v>14</v>
      </c>
      <c r="D12" s="2">
        <v>4</v>
      </c>
      <c r="E12" s="2" t="s">
        <v>23</v>
      </c>
      <c r="F12" s="5" t="s">
        <v>15</v>
      </c>
      <c r="G12" s="5" t="s">
        <v>15</v>
      </c>
      <c r="H12" s="5" t="s">
        <v>16</v>
      </c>
      <c r="I12" s="2" t="s">
        <v>79</v>
      </c>
      <c r="J12" s="2" t="s">
        <v>80</v>
      </c>
      <c r="K12" s="2" t="s">
        <v>81</v>
      </c>
      <c r="L12" s="2" t="s">
        <v>82</v>
      </c>
    </row>
    <row r="13" ht="66" customHeight="1" spans="1:12">
      <c r="A13" s="2" t="s">
        <v>83</v>
      </c>
      <c r="B13" s="2" t="s">
        <v>84</v>
      </c>
      <c r="C13" s="2" t="s">
        <v>36</v>
      </c>
      <c r="D13" s="2">
        <v>14</v>
      </c>
      <c r="E13" s="2" t="s">
        <v>37</v>
      </c>
      <c r="F13" s="5" t="s">
        <v>38</v>
      </c>
      <c r="G13" s="5" t="s">
        <v>38</v>
      </c>
      <c r="H13" s="6" t="s">
        <v>61</v>
      </c>
      <c r="I13" s="2" t="s">
        <v>62</v>
      </c>
      <c r="J13" s="2" t="s">
        <v>85</v>
      </c>
      <c r="K13" s="2" t="s">
        <v>86</v>
      </c>
      <c r="L13" s="2" t="s">
        <v>87</v>
      </c>
    </row>
    <row r="14" ht="66" customHeight="1" spans="1:12">
      <c r="A14" s="2" t="s">
        <v>88</v>
      </c>
      <c r="B14" s="2" t="s">
        <v>89</v>
      </c>
      <c r="C14" s="2" t="s">
        <v>36</v>
      </c>
      <c r="D14" s="2">
        <v>15</v>
      </c>
      <c r="E14" s="2" t="s">
        <v>37</v>
      </c>
      <c r="F14" s="5" t="s">
        <v>38</v>
      </c>
      <c r="G14" s="5" t="s">
        <v>38</v>
      </c>
      <c r="H14" s="6" t="s">
        <v>61</v>
      </c>
      <c r="I14" s="2" t="s">
        <v>62</v>
      </c>
      <c r="J14" s="2" t="s">
        <v>90</v>
      </c>
      <c r="K14" s="2" t="s">
        <v>91</v>
      </c>
      <c r="L14" s="2" t="s">
        <v>92</v>
      </c>
    </row>
    <row r="15" ht="66" customHeight="1" spans="1:12">
      <c r="A15" s="2" t="s">
        <v>93</v>
      </c>
      <c r="B15" s="2" t="s">
        <v>94</v>
      </c>
      <c r="C15" s="2" t="s">
        <v>14</v>
      </c>
      <c r="D15" s="2">
        <v>4</v>
      </c>
      <c r="E15" s="2" t="s">
        <v>15</v>
      </c>
      <c r="F15" s="5" t="s">
        <v>15</v>
      </c>
      <c r="G15" s="7" t="s">
        <v>38</v>
      </c>
      <c r="H15" s="8" t="s">
        <v>95</v>
      </c>
      <c r="I15" s="2" t="s">
        <v>79</v>
      </c>
      <c r="J15" s="2" t="s">
        <v>96</v>
      </c>
      <c r="K15" s="2" t="s">
        <v>97</v>
      </c>
      <c r="L15" s="2" t="s">
        <v>98</v>
      </c>
    </row>
    <row r="16" ht="66" customHeight="1" spans="1:12">
      <c r="A16" s="2" t="s">
        <v>99</v>
      </c>
      <c r="B16" s="2" t="s">
        <v>100</v>
      </c>
      <c r="C16" s="2" t="s">
        <v>14</v>
      </c>
      <c r="D16" s="2">
        <v>4</v>
      </c>
      <c r="E16" s="2" t="s">
        <v>23</v>
      </c>
      <c r="F16" s="5" t="s">
        <v>23</v>
      </c>
      <c r="G16" s="5" t="s">
        <v>23</v>
      </c>
      <c r="H16" s="5" t="s">
        <v>16</v>
      </c>
      <c r="I16" s="2" t="s">
        <v>101</v>
      </c>
      <c r="J16" s="2" t="s">
        <v>102</v>
      </c>
      <c r="K16" s="2" t="s">
        <v>103</v>
      </c>
      <c r="L16" s="2" t="s">
        <v>104</v>
      </c>
    </row>
    <row r="17" ht="66" customHeight="1" spans="1:12">
      <c r="A17" s="2" t="s">
        <v>105</v>
      </c>
      <c r="B17" s="2" t="s">
        <v>106</v>
      </c>
      <c r="C17" s="2" t="s">
        <v>36</v>
      </c>
      <c r="D17" s="2">
        <v>15</v>
      </c>
      <c r="E17" s="2" t="s">
        <v>15</v>
      </c>
      <c r="F17" s="5" t="s">
        <v>38</v>
      </c>
      <c r="G17" s="5" t="s">
        <v>38</v>
      </c>
      <c r="H17" s="6" t="s">
        <v>61</v>
      </c>
      <c r="I17" s="2" t="s">
        <v>30</v>
      </c>
      <c r="J17" s="2" t="s">
        <v>107</v>
      </c>
      <c r="K17" s="2" t="s">
        <v>108</v>
      </c>
      <c r="L17" s="2" t="s">
        <v>109</v>
      </c>
    </row>
    <row r="18" ht="66" customHeight="1" spans="1:12">
      <c r="A18" s="2" t="s">
        <v>110</v>
      </c>
      <c r="B18" s="2" t="s">
        <v>111</v>
      </c>
      <c r="C18" s="2" t="s">
        <v>36</v>
      </c>
      <c r="D18" s="2">
        <v>14</v>
      </c>
      <c r="E18" s="2" t="s">
        <v>15</v>
      </c>
      <c r="F18" s="5" t="s">
        <v>15</v>
      </c>
      <c r="G18" s="5" t="s">
        <v>15</v>
      </c>
      <c r="H18" s="5" t="s">
        <v>16</v>
      </c>
      <c r="I18" s="2" t="s">
        <v>50</v>
      </c>
      <c r="J18" s="2" t="s">
        <v>112</v>
      </c>
      <c r="K18" s="2" t="s">
        <v>113</v>
      </c>
      <c r="L18" s="2" t="s">
        <v>114</v>
      </c>
    </row>
    <row r="19" ht="66" customHeight="1" spans="1:12">
      <c r="A19" s="2" t="s">
        <v>115</v>
      </c>
      <c r="B19" s="2" t="s">
        <v>116</v>
      </c>
      <c r="C19" s="2" t="s">
        <v>14</v>
      </c>
      <c r="D19" s="2">
        <v>8</v>
      </c>
      <c r="E19" s="2" t="s">
        <v>23</v>
      </c>
      <c r="F19" s="5" t="s">
        <v>23</v>
      </c>
      <c r="G19" s="5" t="s">
        <v>23</v>
      </c>
      <c r="H19" s="5" t="s">
        <v>117</v>
      </c>
      <c r="I19" s="2" t="s">
        <v>118</v>
      </c>
      <c r="J19" s="2" t="s">
        <v>119</v>
      </c>
      <c r="K19" s="2" t="s">
        <v>120</v>
      </c>
      <c r="L19" s="2" t="s">
        <v>121</v>
      </c>
    </row>
    <row r="20" ht="66" customHeight="1" spans="1:12">
      <c r="A20" s="2" t="s">
        <v>122</v>
      </c>
      <c r="B20" s="2" t="s">
        <v>123</v>
      </c>
      <c r="C20" s="2" t="s">
        <v>68</v>
      </c>
      <c r="D20" s="2">
        <v>17</v>
      </c>
      <c r="E20" s="2" t="s">
        <v>23</v>
      </c>
      <c r="F20" s="5" t="s">
        <v>15</v>
      </c>
      <c r="G20" s="9" t="s">
        <v>23</v>
      </c>
      <c r="H20" s="8" t="s">
        <v>124</v>
      </c>
      <c r="I20" s="2" t="s">
        <v>79</v>
      </c>
      <c r="J20" s="2" t="s">
        <v>125</v>
      </c>
      <c r="K20" s="2" t="s">
        <v>126</v>
      </c>
      <c r="L20" s="2" t="s">
        <v>127</v>
      </c>
    </row>
    <row r="21" ht="66" customHeight="1" spans="1:12">
      <c r="A21" s="2" t="s">
        <v>128</v>
      </c>
      <c r="B21" s="2" t="s">
        <v>129</v>
      </c>
      <c r="C21" s="2" t="s">
        <v>14</v>
      </c>
      <c r="D21" s="2">
        <v>5</v>
      </c>
      <c r="E21" s="2" t="s">
        <v>23</v>
      </c>
      <c r="F21" s="5" t="s">
        <v>15</v>
      </c>
      <c r="G21" s="5" t="s">
        <v>15</v>
      </c>
      <c r="H21" s="5" t="s">
        <v>16</v>
      </c>
      <c r="I21" s="2" t="s">
        <v>101</v>
      </c>
      <c r="J21" s="2" t="s">
        <v>130</v>
      </c>
      <c r="K21" s="2" t="s">
        <v>131</v>
      </c>
      <c r="L21" s="2" t="s">
        <v>132</v>
      </c>
    </row>
    <row r="22" ht="66" customHeight="1" spans="1:12">
      <c r="A22" s="2" t="s">
        <v>133</v>
      </c>
      <c r="B22" s="2" t="s">
        <v>134</v>
      </c>
      <c r="C22" s="2" t="s">
        <v>14</v>
      </c>
      <c r="D22" s="2">
        <v>8</v>
      </c>
      <c r="E22" s="2" t="s">
        <v>38</v>
      </c>
      <c r="F22" s="5" t="s">
        <v>38</v>
      </c>
      <c r="G22" s="5" t="s">
        <v>38</v>
      </c>
      <c r="H22" s="5" t="s">
        <v>16</v>
      </c>
      <c r="I22" s="2" t="s">
        <v>62</v>
      </c>
      <c r="J22" s="2" t="s">
        <v>135</v>
      </c>
      <c r="K22" s="2" t="s">
        <v>136</v>
      </c>
      <c r="L22" s="2" t="s">
        <v>137</v>
      </c>
    </row>
    <row r="23" ht="66" customHeight="1" spans="1:12">
      <c r="A23" s="2" t="s">
        <v>138</v>
      </c>
      <c r="B23" s="2" t="s">
        <v>139</v>
      </c>
      <c r="C23" s="2" t="s">
        <v>36</v>
      </c>
      <c r="D23" s="2">
        <v>15</v>
      </c>
      <c r="E23" s="2" t="s">
        <v>23</v>
      </c>
      <c r="F23" s="5" t="s">
        <v>15</v>
      </c>
      <c r="G23" s="5" t="s">
        <v>15</v>
      </c>
      <c r="H23" s="5" t="s">
        <v>16</v>
      </c>
      <c r="I23" s="2" t="s">
        <v>140</v>
      </c>
      <c r="J23" s="2" t="s">
        <v>141</v>
      </c>
      <c r="K23" s="2" t="s">
        <v>142</v>
      </c>
      <c r="L23" s="2" t="s">
        <v>143</v>
      </c>
    </row>
    <row r="24" ht="66" customHeight="1" spans="1:12">
      <c r="A24" s="2" t="s">
        <v>144</v>
      </c>
      <c r="B24" s="2" t="s">
        <v>145</v>
      </c>
      <c r="C24" s="2" t="s">
        <v>14</v>
      </c>
      <c r="D24" s="2">
        <v>5</v>
      </c>
      <c r="E24" s="2" t="s">
        <v>15</v>
      </c>
      <c r="F24" s="5" t="s">
        <v>15</v>
      </c>
      <c r="G24" s="5" t="s">
        <v>15</v>
      </c>
      <c r="H24" s="5" t="s">
        <v>16</v>
      </c>
      <c r="I24" s="2" t="s">
        <v>79</v>
      </c>
      <c r="J24" s="2" t="s">
        <v>146</v>
      </c>
      <c r="K24" s="2" t="s">
        <v>147</v>
      </c>
      <c r="L24" s="2" t="s">
        <v>148</v>
      </c>
    </row>
    <row r="25" ht="66" customHeight="1" spans="1:12">
      <c r="A25" s="2" t="s">
        <v>149</v>
      </c>
      <c r="B25" s="2" t="s">
        <v>150</v>
      </c>
      <c r="C25" s="2" t="s">
        <v>14</v>
      </c>
      <c r="D25" s="2">
        <v>8</v>
      </c>
      <c r="E25" s="2" t="s">
        <v>23</v>
      </c>
      <c r="F25" s="5" t="s">
        <v>15</v>
      </c>
      <c r="G25" s="5" t="s">
        <v>15</v>
      </c>
      <c r="H25" s="5" t="s">
        <v>151</v>
      </c>
      <c r="I25" s="2" t="s">
        <v>30</v>
      </c>
      <c r="J25" s="2" t="s">
        <v>152</v>
      </c>
      <c r="K25" s="2" t="s">
        <v>153</v>
      </c>
      <c r="L25" s="2" t="s">
        <v>154</v>
      </c>
    </row>
    <row r="26" ht="66" customHeight="1" spans="1:12">
      <c r="A26" s="2" t="s">
        <v>155</v>
      </c>
      <c r="B26" s="2" t="s">
        <v>156</v>
      </c>
      <c r="C26" s="2" t="s">
        <v>14</v>
      </c>
      <c r="D26" s="2">
        <v>9</v>
      </c>
      <c r="E26" s="2" t="s">
        <v>23</v>
      </c>
      <c r="F26" s="5" t="s">
        <v>15</v>
      </c>
      <c r="G26" s="5" t="s">
        <v>15</v>
      </c>
      <c r="H26" s="5" t="s">
        <v>16</v>
      </c>
      <c r="I26" s="2" t="s">
        <v>157</v>
      </c>
      <c r="J26" s="2" t="s">
        <v>158</v>
      </c>
      <c r="K26" s="2" t="s">
        <v>159</v>
      </c>
      <c r="L26" s="2" t="s">
        <v>160</v>
      </c>
    </row>
    <row r="27" ht="66" customHeight="1" spans="1:12">
      <c r="A27" s="2" t="s">
        <v>161</v>
      </c>
      <c r="B27" s="2" t="s">
        <v>162</v>
      </c>
      <c r="C27" s="2" t="s">
        <v>14</v>
      </c>
      <c r="D27" s="2">
        <v>9</v>
      </c>
      <c r="E27" s="2" t="s">
        <v>23</v>
      </c>
      <c r="F27" s="5" t="s">
        <v>15</v>
      </c>
      <c r="G27" s="5" t="s">
        <v>15</v>
      </c>
      <c r="H27" s="5" t="s">
        <v>16</v>
      </c>
      <c r="I27" s="2" t="s">
        <v>118</v>
      </c>
      <c r="J27" s="2" t="s">
        <v>163</v>
      </c>
      <c r="K27" s="2" t="s">
        <v>164</v>
      </c>
      <c r="L27" s="2" t="s">
        <v>165</v>
      </c>
    </row>
    <row r="28" ht="66" customHeight="1" spans="1:12">
      <c r="A28" s="2" t="s">
        <v>166</v>
      </c>
      <c r="B28" s="2" t="s">
        <v>167</v>
      </c>
      <c r="C28" s="2" t="s">
        <v>14</v>
      </c>
      <c r="D28" s="2">
        <v>5</v>
      </c>
      <c r="E28" s="2" t="s">
        <v>37</v>
      </c>
      <c r="F28" s="5" t="s">
        <v>38</v>
      </c>
      <c r="G28" s="5" t="s">
        <v>38</v>
      </c>
      <c r="H28" s="6" t="s">
        <v>61</v>
      </c>
      <c r="I28" s="2" t="s">
        <v>62</v>
      </c>
      <c r="J28" s="2" t="s">
        <v>168</v>
      </c>
      <c r="K28" s="2" t="s">
        <v>169</v>
      </c>
      <c r="L28" s="2" t="s">
        <v>170</v>
      </c>
    </row>
    <row r="29" ht="66" customHeight="1" spans="1:12">
      <c r="A29" s="2" t="s">
        <v>171</v>
      </c>
      <c r="B29" s="2" t="s">
        <v>172</v>
      </c>
      <c r="C29" s="2" t="s">
        <v>68</v>
      </c>
      <c r="D29" s="2">
        <v>17</v>
      </c>
      <c r="E29" s="2" t="s">
        <v>37</v>
      </c>
      <c r="F29" s="5" t="s">
        <v>38</v>
      </c>
      <c r="G29" s="5" t="s">
        <v>38</v>
      </c>
      <c r="H29" s="6" t="s">
        <v>61</v>
      </c>
      <c r="I29" s="2" t="s">
        <v>62</v>
      </c>
      <c r="J29" s="2" t="s">
        <v>173</v>
      </c>
      <c r="K29" s="2" t="s">
        <v>174</v>
      </c>
      <c r="L29" s="2" t="s">
        <v>175</v>
      </c>
    </row>
    <row r="30" ht="66" customHeight="1" spans="1:12">
      <c r="A30" s="2" t="s">
        <v>176</v>
      </c>
      <c r="B30" s="2" t="s">
        <v>177</v>
      </c>
      <c r="C30" s="2" t="s">
        <v>14</v>
      </c>
      <c r="D30" s="2">
        <v>9</v>
      </c>
      <c r="E30" s="2" t="s">
        <v>15</v>
      </c>
      <c r="F30" s="5" t="s">
        <v>38</v>
      </c>
      <c r="G30" s="5" t="s">
        <v>38</v>
      </c>
      <c r="H30" s="5" t="s">
        <v>16</v>
      </c>
      <c r="I30" s="2" t="s">
        <v>17</v>
      </c>
      <c r="J30" s="2" t="s">
        <v>178</v>
      </c>
      <c r="K30" s="2" t="s">
        <v>179</v>
      </c>
      <c r="L30" s="2" t="s">
        <v>180</v>
      </c>
    </row>
    <row r="31" ht="66" customHeight="1" spans="1:12">
      <c r="A31" s="2" t="s">
        <v>181</v>
      </c>
      <c r="B31" s="2" t="s">
        <v>182</v>
      </c>
      <c r="C31" s="2" t="s">
        <v>14</v>
      </c>
      <c r="D31" s="2">
        <v>5</v>
      </c>
      <c r="E31" s="2" t="s">
        <v>23</v>
      </c>
      <c r="F31" s="5" t="s">
        <v>15</v>
      </c>
      <c r="G31" s="9" t="s">
        <v>23</v>
      </c>
      <c r="H31" s="8" t="s">
        <v>95</v>
      </c>
      <c r="I31" s="2" t="s">
        <v>183</v>
      </c>
      <c r="J31" s="2" t="s">
        <v>184</v>
      </c>
      <c r="K31" s="2" t="s">
        <v>185</v>
      </c>
      <c r="L31" s="2" t="s">
        <v>186</v>
      </c>
    </row>
    <row r="32" ht="66" customHeight="1" spans="1:12">
      <c r="A32" s="2" t="s">
        <v>187</v>
      </c>
      <c r="B32" s="2" t="s">
        <v>188</v>
      </c>
      <c r="C32" s="2" t="s">
        <v>14</v>
      </c>
      <c r="D32" s="2">
        <v>9</v>
      </c>
      <c r="E32" s="2" t="s">
        <v>15</v>
      </c>
      <c r="F32" s="5" t="s">
        <v>15</v>
      </c>
      <c r="G32" s="5" t="s">
        <v>15</v>
      </c>
      <c r="H32" s="5" t="s">
        <v>16</v>
      </c>
      <c r="I32" s="2" t="s">
        <v>17</v>
      </c>
      <c r="J32" s="2" t="s">
        <v>189</v>
      </c>
      <c r="K32" s="2" t="s">
        <v>190</v>
      </c>
      <c r="L32" s="2" t="s">
        <v>191</v>
      </c>
    </row>
    <row r="33" ht="66" customHeight="1" spans="1:12">
      <c r="A33" s="2" t="s">
        <v>192</v>
      </c>
      <c r="B33" s="2" t="s">
        <v>193</v>
      </c>
      <c r="C33" s="2" t="s">
        <v>14</v>
      </c>
      <c r="D33" s="2">
        <v>10</v>
      </c>
      <c r="E33" s="2" t="s">
        <v>37</v>
      </c>
      <c r="F33" s="5" t="s">
        <v>15</v>
      </c>
      <c r="G33" s="5" t="s">
        <v>15</v>
      </c>
      <c r="H33" s="5" t="s">
        <v>151</v>
      </c>
      <c r="I33" s="2" t="s">
        <v>39</v>
      </c>
      <c r="J33" s="2" t="s">
        <v>194</v>
      </c>
      <c r="K33" s="2" t="s">
        <v>195</v>
      </c>
      <c r="L33" s="2" t="s">
        <v>196</v>
      </c>
    </row>
    <row r="34" ht="66" customHeight="1" spans="1:12">
      <c r="A34" s="2" t="s">
        <v>197</v>
      </c>
      <c r="B34" s="2" t="s">
        <v>198</v>
      </c>
      <c r="C34" s="2" t="s">
        <v>14</v>
      </c>
      <c r="D34" s="2">
        <v>10</v>
      </c>
      <c r="E34" s="2" t="s">
        <v>38</v>
      </c>
      <c r="F34" s="5" t="s">
        <v>38</v>
      </c>
      <c r="G34" s="5" t="s">
        <v>38</v>
      </c>
      <c r="H34" s="5" t="s">
        <v>16</v>
      </c>
      <c r="I34" s="2" t="s">
        <v>62</v>
      </c>
      <c r="J34" s="2" t="s">
        <v>199</v>
      </c>
      <c r="K34" s="2" t="s">
        <v>200</v>
      </c>
      <c r="L34" s="2" t="s">
        <v>201</v>
      </c>
    </row>
    <row r="35" ht="66" customHeight="1" spans="1:12">
      <c r="A35" s="2" t="s">
        <v>202</v>
      </c>
      <c r="B35" s="2" t="s">
        <v>203</v>
      </c>
      <c r="C35" s="2" t="s">
        <v>14</v>
      </c>
      <c r="D35" s="2">
        <v>10</v>
      </c>
      <c r="E35" s="2" t="s">
        <v>15</v>
      </c>
      <c r="F35" s="5" t="s">
        <v>15</v>
      </c>
      <c r="G35" s="5" t="s">
        <v>15</v>
      </c>
      <c r="H35" s="5" t="s">
        <v>16</v>
      </c>
      <c r="I35" s="2" t="s">
        <v>17</v>
      </c>
      <c r="J35" s="2" t="s">
        <v>204</v>
      </c>
      <c r="K35" s="2" t="s">
        <v>205</v>
      </c>
      <c r="L35" s="2" t="s">
        <v>206</v>
      </c>
    </row>
    <row r="36" ht="66" customHeight="1" spans="1:12">
      <c r="A36" s="2" t="s">
        <v>207</v>
      </c>
      <c r="B36" s="2" t="s">
        <v>208</v>
      </c>
      <c r="C36" s="2" t="s">
        <v>14</v>
      </c>
      <c r="D36" s="2">
        <v>10</v>
      </c>
      <c r="E36" s="2" t="s">
        <v>23</v>
      </c>
      <c r="F36" s="5" t="s">
        <v>15</v>
      </c>
      <c r="G36" s="9" t="s">
        <v>23</v>
      </c>
      <c r="H36" s="8" t="s">
        <v>124</v>
      </c>
      <c r="I36" s="2" t="s">
        <v>50</v>
      </c>
      <c r="J36" s="2" t="s">
        <v>209</v>
      </c>
      <c r="K36" s="2" t="s">
        <v>210</v>
      </c>
      <c r="L36" s="2" t="s">
        <v>211</v>
      </c>
    </row>
    <row r="37" ht="66" customHeight="1" spans="1:12">
      <c r="A37" s="2" t="s">
        <v>212</v>
      </c>
      <c r="B37" s="2" t="s">
        <v>213</v>
      </c>
      <c r="C37" s="2" t="s">
        <v>36</v>
      </c>
      <c r="D37" s="2">
        <v>15</v>
      </c>
      <c r="E37" s="2" t="s">
        <v>23</v>
      </c>
      <c r="F37" s="5" t="s">
        <v>23</v>
      </c>
      <c r="G37" s="5" t="s">
        <v>23</v>
      </c>
      <c r="H37" s="5" t="s">
        <v>16</v>
      </c>
      <c r="I37" s="2" t="s">
        <v>214</v>
      </c>
      <c r="J37" s="2" t="s">
        <v>215</v>
      </c>
      <c r="K37" s="2" t="s">
        <v>216</v>
      </c>
      <c r="L37" s="2" t="s">
        <v>217</v>
      </c>
    </row>
    <row r="38" ht="66" customHeight="1" spans="1:12">
      <c r="A38" s="2" t="s">
        <v>218</v>
      </c>
      <c r="B38" s="2" t="s">
        <v>219</v>
      </c>
      <c r="C38" s="2" t="s">
        <v>14</v>
      </c>
      <c r="D38" s="2">
        <v>11</v>
      </c>
      <c r="E38" s="2" t="s">
        <v>15</v>
      </c>
      <c r="F38" s="5" t="s">
        <v>15</v>
      </c>
      <c r="G38" s="5" t="s">
        <v>15</v>
      </c>
      <c r="H38" s="5" t="s">
        <v>16</v>
      </c>
      <c r="I38" s="2" t="s">
        <v>39</v>
      </c>
      <c r="J38" s="2" t="s">
        <v>220</v>
      </c>
      <c r="K38" s="2" t="s">
        <v>221</v>
      </c>
      <c r="L38" s="2" t="s">
        <v>222</v>
      </c>
    </row>
    <row r="39" ht="66" customHeight="1" spans="1:12">
      <c r="A39" s="2" t="s">
        <v>223</v>
      </c>
      <c r="B39" s="2" t="s">
        <v>224</v>
      </c>
      <c r="C39" s="2" t="s">
        <v>14</v>
      </c>
      <c r="D39" s="2">
        <v>6</v>
      </c>
      <c r="E39" s="2" t="s">
        <v>23</v>
      </c>
      <c r="F39" s="5" t="s">
        <v>15</v>
      </c>
      <c r="G39" s="5" t="s">
        <v>15</v>
      </c>
      <c r="H39" s="5" t="s">
        <v>16</v>
      </c>
      <c r="I39" s="2" t="s">
        <v>101</v>
      </c>
      <c r="J39" s="2" t="s">
        <v>225</v>
      </c>
      <c r="K39" s="2" t="s">
        <v>226</v>
      </c>
      <c r="L39" s="2" t="s">
        <v>227</v>
      </c>
    </row>
    <row r="40" ht="66" customHeight="1" spans="1:12">
      <c r="A40" s="2" t="s">
        <v>228</v>
      </c>
      <c r="B40" s="2" t="s">
        <v>229</v>
      </c>
      <c r="C40" s="2" t="s">
        <v>14</v>
      </c>
      <c r="D40" s="2">
        <v>11</v>
      </c>
      <c r="E40" s="2" t="s">
        <v>23</v>
      </c>
      <c r="F40" s="5" t="s">
        <v>15</v>
      </c>
      <c r="G40" s="5" t="s">
        <v>15</v>
      </c>
      <c r="H40" s="5" t="s">
        <v>16</v>
      </c>
      <c r="I40" s="2" t="s">
        <v>17</v>
      </c>
      <c r="J40" s="2" t="s">
        <v>230</v>
      </c>
      <c r="K40" s="2" t="s">
        <v>231</v>
      </c>
      <c r="L40" s="2" t="s">
        <v>232</v>
      </c>
    </row>
    <row r="41" ht="66" customHeight="1" spans="1:12">
      <c r="A41" s="2" t="s">
        <v>233</v>
      </c>
      <c r="B41" s="2" t="s">
        <v>234</v>
      </c>
      <c r="C41" s="2" t="s">
        <v>36</v>
      </c>
      <c r="D41" s="2">
        <v>16</v>
      </c>
      <c r="E41" s="2" t="s">
        <v>23</v>
      </c>
      <c r="F41" s="5" t="s">
        <v>38</v>
      </c>
      <c r="G41" s="5" t="s">
        <v>38</v>
      </c>
      <c r="H41" s="5" t="s">
        <v>16</v>
      </c>
      <c r="I41" s="2" t="s">
        <v>62</v>
      </c>
      <c r="J41" s="2" t="s">
        <v>235</v>
      </c>
      <c r="K41" s="2" t="s">
        <v>236</v>
      </c>
      <c r="L41" s="2" t="s">
        <v>237</v>
      </c>
    </row>
    <row r="42" ht="66" customHeight="1" spans="1:12">
      <c r="A42" s="2" t="s">
        <v>238</v>
      </c>
      <c r="B42" s="2" t="s">
        <v>239</v>
      </c>
      <c r="C42" s="2" t="s">
        <v>14</v>
      </c>
      <c r="D42" s="2">
        <v>11</v>
      </c>
      <c r="E42" s="2" t="s">
        <v>37</v>
      </c>
      <c r="F42" s="5" t="s">
        <v>38</v>
      </c>
      <c r="G42" s="5" t="s">
        <v>38</v>
      </c>
      <c r="H42" s="6" t="s">
        <v>61</v>
      </c>
      <c r="I42" s="2" t="s">
        <v>62</v>
      </c>
      <c r="J42" s="2" t="s">
        <v>240</v>
      </c>
      <c r="K42" s="2" t="s">
        <v>241</v>
      </c>
      <c r="L42" s="2" t="s">
        <v>242</v>
      </c>
    </row>
    <row r="43" ht="66" customHeight="1" spans="1:12">
      <c r="A43" s="2" t="s">
        <v>243</v>
      </c>
      <c r="B43" s="2" t="s">
        <v>244</v>
      </c>
      <c r="C43" s="2" t="s">
        <v>14</v>
      </c>
      <c r="D43" s="2">
        <v>12</v>
      </c>
      <c r="E43" s="2" t="s">
        <v>23</v>
      </c>
      <c r="F43" s="5" t="s">
        <v>15</v>
      </c>
      <c r="G43" s="5" t="s">
        <v>15</v>
      </c>
      <c r="H43" s="5" t="s">
        <v>16</v>
      </c>
      <c r="I43" s="2" t="s">
        <v>79</v>
      </c>
      <c r="J43" s="2" t="s">
        <v>245</v>
      </c>
      <c r="K43" s="2" t="s">
        <v>246</v>
      </c>
      <c r="L43" s="2" t="s">
        <v>247</v>
      </c>
    </row>
    <row r="44" ht="66" customHeight="1" spans="1:12">
      <c r="A44" s="2" t="s">
        <v>248</v>
      </c>
      <c r="B44" s="2" t="s">
        <v>249</v>
      </c>
      <c r="C44" s="2" t="s">
        <v>14</v>
      </c>
      <c r="D44" s="2">
        <v>12</v>
      </c>
      <c r="E44" s="2" t="s">
        <v>38</v>
      </c>
      <c r="F44" s="5" t="s">
        <v>38</v>
      </c>
      <c r="G44" s="5" t="s">
        <v>38</v>
      </c>
      <c r="H44" s="5" t="s">
        <v>16</v>
      </c>
      <c r="I44" s="2" t="s">
        <v>62</v>
      </c>
      <c r="J44" s="2" t="s">
        <v>250</v>
      </c>
      <c r="K44" s="2" t="s">
        <v>251</v>
      </c>
      <c r="L44" s="2" t="s">
        <v>252</v>
      </c>
    </row>
    <row r="45" ht="66" customHeight="1" spans="1:12">
      <c r="A45" s="2" t="s">
        <v>253</v>
      </c>
      <c r="B45" s="2" t="s">
        <v>254</v>
      </c>
      <c r="C45" s="2" t="s">
        <v>14</v>
      </c>
      <c r="D45" s="2">
        <v>6</v>
      </c>
      <c r="E45" s="2" t="s">
        <v>15</v>
      </c>
      <c r="F45" s="5" t="s">
        <v>38</v>
      </c>
      <c r="G45" s="5" t="s">
        <v>38</v>
      </c>
      <c r="H45" s="5" t="s">
        <v>16</v>
      </c>
      <c r="I45" s="2" t="s">
        <v>17</v>
      </c>
      <c r="J45" s="2" t="s">
        <v>255</v>
      </c>
      <c r="K45" s="2" t="s">
        <v>256</v>
      </c>
      <c r="L45" s="2" t="s">
        <v>257</v>
      </c>
    </row>
    <row r="46" ht="66" customHeight="1" spans="1:12">
      <c r="A46" s="2" t="s">
        <v>258</v>
      </c>
      <c r="B46" s="2" t="s">
        <v>259</v>
      </c>
      <c r="C46" s="2" t="s">
        <v>14</v>
      </c>
      <c r="D46" s="2">
        <v>6</v>
      </c>
      <c r="E46" s="2" t="s">
        <v>23</v>
      </c>
      <c r="F46" s="5" t="s">
        <v>15</v>
      </c>
      <c r="G46" s="5" t="s">
        <v>15</v>
      </c>
      <c r="H46" s="5" t="s">
        <v>16</v>
      </c>
      <c r="I46" s="2" t="s">
        <v>24</v>
      </c>
      <c r="J46" s="2" t="s">
        <v>260</v>
      </c>
      <c r="K46" s="2" t="s">
        <v>261</v>
      </c>
      <c r="L46" s="2" t="s">
        <v>262</v>
      </c>
    </row>
    <row r="47" ht="66" customHeight="1" spans="1:12">
      <c r="A47" s="2" t="s">
        <v>263</v>
      </c>
      <c r="B47" s="2" t="s">
        <v>264</v>
      </c>
      <c r="C47" s="2" t="s">
        <v>14</v>
      </c>
      <c r="D47" s="2">
        <v>7</v>
      </c>
      <c r="E47" s="2" t="s">
        <v>23</v>
      </c>
      <c r="F47" s="5" t="s">
        <v>38</v>
      </c>
      <c r="G47" s="5" t="s">
        <v>38</v>
      </c>
      <c r="H47" s="5" t="s">
        <v>16</v>
      </c>
      <c r="I47" s="2" t="s">
        <v>30</v>
      </c>
      <c r="J47" s="2" t="s">
        <v>265</v>
      </c>
      <c r="K47" s="2" t="s">
        <v>266</v>
      </c>
      <c r="L47" s="2" t="s">
        <v>267</v>
      </c>
    </row>
    <row r="48" ht="66" customHeight="1" spans="1:12">
      <c r="A48" s="2" t="s">
        <v>268</v>
      </c>
      <c r="B48" s="2" t="s">
        <v>269</v>
      </c>
      <c r="C48" s="2" t="s">
        <v>14</v>
      </c>
      <c r="D48" s="2">
        <v>12</v>
      </c>
      <c r="E48" s="2" t="s">
        <v>15</v>
      </c>
      <c r="F48" s="5" t="s">
        <v>38</v>
      </c>
      <c r="G48" s="5" t="s">
        <v>38</v>
      </c>
      <c r="H48" s="5" t="s">
        <v>16</v>
      </c>
      <c r="I48" s="2" t="s">
        <v>62</v>
      </c>
      <c r="J48" s="2" t="s">
        <v>270</v>
      </c>
      <c r="K48" s="2" t="s">
        <v>271</v>
      </c>
      <c r="L48" s="2" t="s">
        <v>272</v>
      </c>
    </row>
    <row r="49" ht="66" customHeight="1" spans="1:12">
      <c r="A49" s="2" t="s">
        <v>273</v>
      </c>
      <c r="B49" s="2" t="s">
        <v>274</v>
      </c>
      <c r="C49" s="2" t="s">
        <v>14</v>
      </c>
      <c r="D49" s="2">
        <v>13</v>
      </c>
      <c r="E49" s="2" t="s">
        <v>15</v>
      </c>
      <c r="F49" s="5" t="s">
        <v>15</v>
      </c>
      <c r="G49" s="5" t="s">
        <v>15</v>
      </c>
      <c r="H49" s="10" t="s">
        <v>275</v>
      </c>
      <c r="I49" s="2" t="s">
        <v>39</v>
      </c>
      <c r="J49" s="2" t="s">
        <v>276</v>
      </c>
      <c r="K49" s="2" t="s">
        <v>277</v>
      </c>
      <c r="L49" s="2" t="s">
        <v>278</v>
      </c>
    </row>
    <row r="50" ht="66" customHeight="1" spans="1:12">
      <c r="A50" s="2" t="s">
        <v>279</v>
      </c>
      <c r="B50" s="2" t="s">
        <v>280</v>
      </c>
      <c r="C50" s="2" t="s">
        <v>14</v>
      </c>
      <c r="D50" s="2">
        <v>13</v>
      </c>
      <c r="E50" s="2" t="s">
        <v>38</v>
      </c>
      <c r="F50" s="5" t="s">
        <v>38</v>
      </c>
      <c r="G50" s="5" t="s">
        <v>38</v>
      </c>
      <c r="H50" s="5" t="s">
        <v>16</v>
      </c>
      <c r="I50" s="2" t="s">
        <v>62</v>
      </c>
      <c r="J50" s="2" t="s">
        <v>281</v>
      </c>
      <c r="K50" s="2" t="s">
        <v>282</v>
      </c>
      <c r="L50" s="2" t="s">
        <v>283</v>
      </c>
    </row>
    <row r="51" ht="66" customHeight="1" spans="1:12">
      <c r="A51" s="2" t="s">
        <v>284</v>
      </c>
      <c r="B51" s="2" t="s">
        <v>285</v>
      </c>
      <c r="C51" s="2" t="s">
        <v>14</v>
      </c>
      <c r="D51" s="2">
        <v>13</v>
      </c>
      <c r="E51" s="2" t="s">
        <v>23</v>
      </c>
      <c r="F51" s="5" t="s">
        <v>15</v>
      </c>
      <c r="G51" s="5" t="s">
        <v>15</v>
      </c>
      <c r="H51" s="5" t="s">
        <v>16</v>
      </c>
      <c r="I51" s="2" t="s">
        <v>39</v>
      </c>
      <c r="J51" s="2" t="s">
        <v>286</v>
      </c>
      <c r="K51" s="2" t="s">
        <v>287</v>
      </c>
      <c r="L51" s="2" t="s">
        <v>288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workbookViewId="0">
      <selection activeCell="A1" sqref="A1:E1"/>
    </sheetView>
  </sheetViews>
  <sheetFormatPr defaultColWidth="9" defaultRowHeight="13.8" outlineLevelCol="4"/>
  <cols>
    <col min="1" max="5" width="22" customWidth="1"/>
  </cols>
  <sheetData>
    <row r="1" ht="36" customHeight="1" spans="1:5">
      <c r="A1" s="1" t="s">
        <v>289</v>
      </c>
      <c r="B1" s="1"/>
      <c r="C1" s="1"/>
      <c r="D1" s="1"/>
      <c r="E1" s="1"/>
    </row>
    <row r="3" spans="1:3">
      <c r="A3" s="3" t="s">
        <v>290</v>
      </c>
      <c r="B3" s="3" t="s">
        <v>291</v>
      </c>
      <c r="C3" s="3" t="s">
        <v>292</v>
      </c>
    </row>
    <row r="4" spans="1:3">
      <c r="A4" t="s">
        <v>23</v>
      </c>
      <c r="B4">
        <f>COUNTIF('50 Guideline Audit'!F2:F51,A4)</f>
        <v>3</v>
      </c>
      <c r="C4">
        <f>COUNTIF('50 Guideline Audit'!G2:G51,A4)</f>
        <v>6</v>
      </c>
    </row>
    <row r="5" spans="1:3">
      <c r="A5" t="s">
        <v>15</v>
      </c>
      <c r="B5">
        <f>COUNTIF('50 Guideline Audit'!F2:F51,A5)</f>
        <v>27</v>
      </c>
      <c r="C5">
        <f>COUNTIF('50 Guideline Audit'!G2:G51,A5)</f>
        <v>23</v>
      </c>
    </row>
    <row r="6" spans="1:3">
      <c r="A6" t="s">
        <v>37</v>
      </c>
      <c r="B6">
        <f>COUNTIF('50 Guideline Audit'!F2:F51,A6)</f>
        <v>0</v>
      </c>
      <c r="C6">
        <f>COUNTIF('50 Guideline Audit'!G2:G51,A6)</f>
        <v>0</v>
      </c>
    </row>
    <row r="7" spans="1:3">
      <c r="A7" t="s">
        <v>38</v>
      </c>
      <c r="B7">
        <f>COUNTIF('50 Guideline Audit'!F2:F51,A7)</f>
        <v>20</v>
      </c>
      <c r="C7">
        <f>COUNTIF('50 Guideline Audit'!G2:G51,A7)</f>
        <v>21</v>
      </c>
    </row>
    <row r="8" spans="1:3">
      <c r="A8" t="s">
        <v>293</v>
      </c>
      <c r="B8">
        <f>SUM(B4:B7)</f>
        <v>50</v>
      </c>
      <c r="C8">
        <f>SUM(C4:C7)</f>
        <v>50</v>
      </c>
    </row>
    <row r="10" spans="1:5">
      <c r="A10" s="3" t="s">
        <v>294</v>
      </c>
      <c r="B10" s="3"/>
      <c r="C10" s="3"/>
      <c r="D10" s="3"/>
      <c r="E10" s="3"/>
    </row>
    <row r="11" ht="38" customHeight="1" spans="1:5">
      <c r="A11" s="2" t="s">
        <v>295</v>
      </c>
      <c r="B11" s="2"/>
      <c r="C11" s="2"/>
      <c r="D11" s="2"/>
      <c r="E11" s="2"/>
    </row>
    <row r="12" ht="38" customHeight="1" spans="1:5">
      <c r="A12" s="2" t="s">
        <v>296</v>
      </c>
      <c r="B12" s="2"/>
      <c r="C12" s="2"/>
      <c r="D12" s="2"/>
      <c r="E12" s="2"/>
    </row>
    <row r="13" ht="38" customHeight="1" spans="1:5">
      <c r="A13" s="2" t="s">
        <v>297</v>
      </c>
      <c r="B13" s="2"/>
      <c r="C13" s="2"/>
      <c r="D13" s="2"/>
      <c r="E13" s="2"/>
    </row>
    <row r="14" ht="38" customHeight="1" spans="1:5">
      <c r="A14" s="2" t="s">
        <v>298</v>
      </c>
      <c r="B14" s="2"/>
      <c r="C14" s="2"/>
      <c r="D14" s="2"/>
      <c r="E14" s="2"/>
    </row>
  </sheetData>
  <mergeCells count="6">
    <mergeCell ref="A1:E1"/>
    <mergeCell ref="A10:E10"/>
    <mergeCell ref="A11:E11"/>
    <mergeCell ref="A12:E12"/>
    <mergeCell ref="A13:E13"/>
    <mergeCell ref="A14:E14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Col="1"/>
  <cols>
    <col min="1" max="1" width="26" customWidth="1"/>
    <col min="2" max="2" width="98" customWidth="1"/>
  </cols>
  <sheetData>
    <row r="1" ht="28" customHeight="1" spans="1:2">
      <c r="A1" s="1" t="s">
        <v>299</v>
      </c>
      <c r="B1" s="1" t="s">
        <v>300</v>
      </c>
    </row>
    <row r="2" ht="37" customHeight="1" spans="1:2">
      <c r="A2" s="2" t="s">
        <v>301</v>
      </c>
      <c r="B2" s="2" t="s">
        <v>302</v>
      </c>
    </row>
    <row r="3" ht="37" customHeight="1" spans="1:2">
      <c r="A3" s="2" t="s">
        <v>303</v>
      </c>
      <c r="B3" s="2" t="s">
        <v>304</v>
      </c>
    </row>
    <row r="4" ht="37" customHeight="1" spans="1:2">
      <c r="A4" s="2" t="s">
        <v>23</v>
      </c>
      <c r="B4" s="2" t="s">
        <v>305</v>
      </c>
    </row>
    <row r="5" ht="37" customHeight="1" spans="1:2">
      <c r="A5" s="2" t="s">
        <v>15</v>
      </c>
      <c r="B5" s="2" t="s">
        <v>306</v>
      </c>
    </row>
    <row r="6" ht="37" customHeight="1" spans="1:2">
      <c r="A6" s="2" t="s">
        <v>38</v>
      </c>
      <c r="B6" s="2" t="s">
        <v>307</v>
      </c>
    </row>
    <row r="7" ht="37" customHeight="1" spans="1:2">
      <c r="A7" s="2" t="s">
        <v>37</v>
      </c>
      <c r="B7" s="2" t="s">
        <v>308</v>
      </c>
    </row>
    <row r="8" ht="37" customHeight="1" spans="1:2">
      <c r="A8" s="2" t="s">
        <v>309</v>
      </c>
      <c r="B8" s="2" t="s">
        <v>310</v>
      </c>
    </row>
    <row r="9" ht="37" customHeight="1" spans="1:2">
      <c r="A9" s="2" t="s">
        <v>311</v>
      </c>
      <c r="B9" s="2" t="s">
        <v>312</v>
      </c>
    </row>
    <row r="10" ht="37" customHeight="1" spans="1:2">
      <c r="A10" s="2" t="s">
        <v>313</v>
      </c>
      <c r="B10" s="2" t="s">
        <v>314</v>
      </c>
    </row>
    <row r="11" ht="37" customHeight="1" spans="1:2">
      <c r="A11" s="2" t="s">
        <v>315</v>
      </c>
      <c r="B11" s="2" t="s">
        <v>316</v>
      </c>
    </row>
    <row r="12" ht="37" customHeight="1" spans="1:2">
      <c r="A12" s="2" t="s">
        <v>317</v>
      </c>
      <c r="B12" s="2" t="s">
        <v>318</v>
      </c>
    </row>
    <row r="13" ht="37" customHeight="1" spans="1:2">
      <c r="A13" s="2" t="s">
        <v>319</v>
      </c>
      <c r="B13" s="2" t="s">
        <v>320</v>
      </c>
    </row>
    <row r="14" ht="37" customHeight="1" spans="1:2">
      <c r="A14" s="2" t="s">
        <v>321</v>
      </c>
      <c r="B14" s="2" t="s">
        <v>322</v>
      </c>
    </row>
    <row r="15" ht="37" customHeight="1" spans="1:2">
      <c r="A15" s="2" t="s">
        <v>323</v>
      </c>
      <c r="B15" s="2" t="s">
        <v>324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50 Guideline Audit</vt:lpstr>
      <vt:lpstr>Summary</vt:lpstr>
      <vt:lpstr>Method and 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minin</cp:lastModifiedBy>
  <dcterms:created xsi:type="dcterms:W3CDTF">2026-10-13T07:14:00Z</dcterms:created>
  <dcterms:modified xsi:type="dcterms:W3CDTF">2026-10-13T07:15:56Z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4E939310F64149D194E198EA6D67ED29_12</vt:lpwstr>
  </property>
  <property fmtid="{D5CDD505-2E9C-101B-9397-08002B2CF9AE}" pid="3" name="KSOProductBuildVer">
    <vt:lpwstr>2057-12.2.0.23206</vt:lpwstr>
  </property>
</Properties>
</file>